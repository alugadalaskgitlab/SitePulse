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highlane-my.sharepoint.com/personal/sk_highlane_in/Documents/Highlane/DBM and BC working Rates/"/>
    </mc:Choice>
  </mc:AlternateContent>
  <xr:revisionPtr revIDLastSave="2" documentId="11_E183023158E79C01263EE4EF25D2173B19CCF846" xr6:coauthVersionLast="47" xr6:coauthVersionMax="47" xr10:uidLastSave="{F16E3484-3543-9041-A1C1-B9F541612708}"/>
  <bookViews>
    <workbookView xWindow="0" yWindow="600" windowWidth="28800" windowHeight="17400" activeTab="4" xr2:uid="{00000000-000D-0000-FFFF-FFFF00000000}"/>
  </bookViews>
  <sheets>
    <sheet name="Inputs" sheetId="1" r:id="rId1"/>
    <sheet name="Mix Design" sheetId="2" r:id="rId2"/>
    <sheet name="Rate Model" sheetId="3" r:id="rId3"/>
    <sheet name="Job Planner" sheetId="4" r:id="rId4"/>
    <sheet name="Material Plann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3" i="5" l="1"/>
  <c r="F203" i="5"/>
  <c r="D203" i="5"/>
  <c r="C203" i="5"/>
  <c r="B203" i="5"/>
  <c r="A203" i="5"/>
  <c r="M202" i="5"/>
  <c r="K202" i="5"/>
  <c r="G202" i="5"/>
  <c r="F202" i="5"/>
  <c r="D202" i="5"/>
  <c r="C202" i="5"/>
  <c r="B202" i="5"/>
  <c r="A202" i="5"/>
  <c r="G201" i="5"/>
  <c r="F201" i="5"/>
  <c r="D201" i="5"/>
  <c r="C201" i="5"/>
  <c r="B201" i="5"/>
  <c r="A201" i="5"/>
  <c r="G200" i="5"/>
  <c r="F200" i="5"/>
  <c r="D200" i="5"/>
  <c r="C200" i="5"/>
  <c r="B200" i="5"/>
  <c r="A200" i="5"/>
  <c r="M199" i="5"/>
  <c r="K199" i="5"/>
  <c r="G199" i="5"/>
  <c r="F199" i="5"/>
  <c r="D199" i="5"/>
  <c r="C199" i="5"/>
  <c r="B199" i="5"/>
  <c r="A199" i="5"/>
  <c r="K198" i="5"/>
  <c r="G198" i="5"/>
  <c r="F198" i="5"/>
  <c r="D198" i="5"/>
  <c r="C198" i="5"/>
  <c r="B198" i="5"/>
  <c r="A198" i="5"/>
  <c r="K197" i="5"/>
  <c r="G197" i="5"/>
  <c r="F197" i="5"/>
  <c r="D197" i="5"/>
  <c r="C197" i="5"/>
  <c r="B197" i="5"/>
  <c r="A197" i="5"/>
  <c r="G196" i="5"/>
  <c r="F196" i="5"/>
  <c r="D196" i="5"/>
  <c r="C196" i="5"/>
  <c r="B196" i="5"/>
  <c r="A196" i="5"/>
  <c r="M195" i="5"/>
  <c r="G195" i="5"/>
  <c r="F195" i="5"/>
  <c r="D195" i="5"/>
  <c r="C195" i="5"/>
  <c r="B195" i="5"/>
  <c r="A195" i="5"/>
  <c r="M194" i="5"/>
  <c r="K194" i="5"/>
  <c r="G194" i="5"/>
  <c r="F194" i="5"/>
  <c r="D194" i="5"/>
  <c r="C194" i="5"/>
  <c r="B194" i="5"/>
  <c r="A194" i="5"/>
  <c r="G193" i="5"/>
  <c r="F193" i="5"/>
  <c r="D193" i="5"/>
  <c r="C193" i="5"/>
  <c r="B193" i="5"/>
  <c r="A193" i="5"/>
  <c r="M192" i="5"/>
  <c r="K192" i="5"/>
  <c r="G192" i="5"/>
  <c r="F192" i="5"/>
  <c r="D192" i="5"/>
  <c r="C192" i="5"/>
  <c r="B192" i="5"/>
  <c r="A192" i="5"/>
  <c r="G191" i="5"/>
  <c r="F191" i="5"/>
  <c r="D191" i="5"/>
  <c r="C191" i="5"/>
  <c r="N191" i="5" s="1"/>
  <c r="B191" i="5"/>
  <c r="A191" i="5"/>
  <c r="N190" i="5"/>
  <c r="G190" i="5"/>
  <c r="F190" i="5"/>
  <c r="D190" i="5"/>
  <c r="C190" i="5"/>
  <c r="B190" i="5"/>
  <c r="A190" i="5"/>
  <c r="N189" i="5"/>
  <c r="K189" i="5"/>
  <c r="G189" i="5"/>
  <c r="F189" i="5"/>
  <c r="D189" i="5"/>
  <c r="C189" i="5"/>
  <c r="B189" i="5"/>
  <c r="A189" i="5"/>
  <c r="M188" i="5"/>
  <c r="K188" i="5"/>
  <c r="G188" i="5"/>
  <c r="F188" i="5"/>
  <c r="D188" i="5"/>
  <c r="C188" i="5"/>
  <c r="B188" i="5"/>
  <c r="A188" i="5"/>
  <c r="G187" i="5"/>
  <c r="F187" i="5"/>
  <c r="D187" i="5"/>
  <c r="C187" i="5"/>
  <c r="M187" i="5" s="1"/>
  <c r="B187" i="5"/>
  <c r="A187" i="5"/>
  <c r="G186" i="5"/>
  <c r="F186" i="5"/>
  <c r="D186" i="5"/>
  <c r="C186" i="5"/>
  <c r="B186" i="5"/>
  <c r="A186" i="5"/>
  <c r="G185" i="5"/>
  <c r="F185" i="5"/>
  <c r="D185" i="5"/>
  <c r="C185" i="5"/>
  <c r="B185" i="5"/>
  <c r="A185" i="5"/>
  <c r="M184" i="5"/>
  <c r="K184" i="5"/>
  <c r="G184" i="5"/>
  <c r="F184" i="5"/>
  <c r="D184" i="5"/>
  <c r="C184" i="5"/>
  <c r="B184" i="5"/>
  <c r="A184" i="5"/>
  <c r="G183" i="5"/>
  <c r="F183" i="5"/>
  <c r="D183" i="5"/>
  <c r="C183" i="5"/>
  <c r="B183" i="5"/>
  <c r="A183" i="5"/>
  <c r="G182" i="5"/>
  <c r="F182" i="5"/>
  <c r="D182" i="5"/>
  <c r="C182" i="5"/>
  <c r="B182" i="5"/>
  <c r="A182" i="5"/>
  <c r="N181" i="5"/>
  <c r="M181" i="5"/>
  <c r="G181" i="5"/>
  <c r="F181" i="5"/>
  <c r="D181" i="5"/>
  <c r="C181" i="5"/>
  <c r="B181" i="5"/>
  <c r="A181" i="5"/>
  <c r="M180" i="5"/>
  <c r="K180" i="5"/>
  <c r="G180" i="5"/>
  <c r="F180" i="5"/>
  <c r="D180" i="5"/>
  <c r="C180" i="5"/>
  <c r="B180" i="5"/>
  <c r="A180" i="5"/>
  <c r="G179" i="5"/>
  <c r="F179" i="5"/>
  <c r="D179" i="5"/>
  <c r="C179" i="5"/>
  <c r="B179" i="5"/>
  <c r="A179" i="5"/>
  <c r="G178" i="5"/>
  <c r="F178" i="5"/>
  <c r="D178" i="5"/>
  <c r="C178" i="5"/>
  <c r="B178" i="5"/>
  <c r="A178" i="5"/>
  <c r="M177" i="5"/>
  <c r="K177" i="5"/>
  <c r="G177" i="5"/>
  <c r="F177" i="5"/>
  <c r="D177" i="5"/>
  <c r="C177" i="5"/>
  <c r="B177" i="5"/>
  <c r="A177" i="5"/>
  <c r="M176" i="5"/>
  <c r="K176" i="5"/>
  <c r="G176" i="5"/>
  <c r="F176" i="5"/>
  <c r="D176" i="5"/>
  <c r="C176" i="5"/>
  <c r="B176" i="5"/>
  <c r="A176" i="5"/>
  <c r="G175" i="5"/>
  <c r="F175" i="5"/>
  <c r="D175" i="5"/>
  <c r="C175" i="5"/>
  <c r="M175" i="5" s="1"/>
  <c r="B175" i="5"/>
  <c r="A175" i="5"/>
  <c r="O174" i="5"/>
  <c r="G174" i="5"/>
  <c r="F174" i="5"/>
  <c r="D174" i="5"/>
  <c r="C174" i="5"/>
  <c r="B174" i="5"/>
  <c r="A174" i="5"/>
  <c r="P173" i="5"/>
  <c r="O173" i="5"/>
  <c r="K173" i="5"/>
  <c r="G173" i="5"/>
  <c r="F173" i="5"/>
  <c r="D173" i="5"/>
  <c r="C173" i="5"/>
  <c r="M173" i="5" s="1"/>
  <c r="B173" i="5"/>
  <c r="A173" i="5"/>
  <c r="P172" i="5"/>
  <c r="O172" i="5"/>
  <c r="L172" i="5"/>
  <c r="G172" i="5"/>
  <c r="F172" i="5"/>
  <c r="D172" i="5"/>
  <c r="C172" i="5"/>
  <c r="B172" i="5"/>
  <c r="A172" i="5"/>
  <c r="G171" i="5"/>
  <c r="F171" i="5"/>
  <c r="D171" i="5"/>
  <c r="C171" i="5"/>
  <c r="B171" i="5"/>
  <c r="A171" i="5"/>
  <c r="P170" i="5"/>
  <c r="O170" i="5"/>
  <c r="N170" i="5"/>
  <c r="K170" i="5"/>
  <c r="G170" i="5"/>
  <c r="F170" i="5"/>
  <c r="D170" i="5"/>
  <c r="C170" i="5"/>
  <c r="M170" i="5" s="1"/>
  <c r="B170" i="5"/>
  <c r="A170" i="5"/>
  <c r="P169" i="5"/>
  <c r="O169" i="5"/>
  <c r="N169" i="5"/>
  <c r="K169" i="5"/>
  <c r="G169" i="5"/>
  <c r="F169" i="5"/>
  <c r="D169" i="5"/>
  <c r="C169" i="5"/>
  <c r="M169" i="5" s="1"/>
  <c r="B169" i="5"/>
  <c r="A169" i="5"/>
  <c r="L168" i="5"/>
  <c r="K168" i="5"/>
  <c r="G168" i="5"/>
  <c r="F168" i="5"/>
  <c r="D168" i="5"/>
  <c r="C168" i="5"/>
  <c r="B168" i="5"/>
  <c r="A168" i="5"/>
  <c r="P167" i="5"/>
  <c r="O167" i="5"/>
  <c r="N167" i="5"/>
  <c r="G167" i="5"/>
  <c r="F167" i="5"/>
  <c r="D167" i="5"/>
  <c r="C167" i="5"/>
  <c r="M167" i="5" s="1"/>
  <c r="B167" i="5"/>
  <c r="A167" i="5"/>
  <c r="G166" i="5"/>
  <c r="F166" i="5"/>
  <c r="D166" i="5"/>
  <c r="C166" i="5"/>
  <c r="B166" i="5"/>
  <c r="A166" i="5"/>
  <c r="P165" i="5"/>
  <c r="O165" i="5"/>
  <c r="K165" i="5"/>
  <c r="G165" i="5"/>
  <c r="F165" i="5"/>
  <c r="D165" i="5"/>
  <c r="C165" i="5"/>
  <c r="M165" i="5" s="1"/>
  <c r="B165" i="5"/>
  <c r="A165" i="5"/>
  <c r="P164" i="5"/>
  <c r="O164" i="5"/>
  <c r="L164" i="5"/>
  <c r="G164" i="5"/>
  <c r="F164" i="5"/>
  <c r="D164" i="5"/>
  <c r="C164" i="5"/>
  <c r="B164" i="5"/>
  <c r="A164" i="5"/>
  <c r="N163" i="5"/>
  <c r="L163" i="5"/>
  <c r="K163" i="5"/>
  <c r="G163" i="5"/>
  <c r="F163" i="5"/>
  <c r="D163" i="5"/>
  <c r="C163" i="5"/>
  <c r="B163" i="5"/>
  <c r="A163" i="5"/>
  <c r="P162" i="5"/>
  <c r="O162" i="5"/>
  <c r="N162" i="5"/>
  <c r="K162" i="5"/>
  <c r="G162" i="5"/>
  <c r="F162" i="5"/>
  <c r="D162" i="5"/>
  <c r="C162" i="5"/>
  <c r="M162" i="5" s="1"/>
  <c r="B162" i="5"/>
  <c r="A162" i="5"/>
  <c r="P161" i="5"/>
  <c r="O161" i="5"/>
  <c r="N161" i="5"/>
  <c r="K161" i="5"/>
  <c r="G161" i="5"/>
  <c r="F161" i="5"/>
  <c r="D161" i="5"/>
  <c r="C161" i="5"/>
  <c r="M161" i="5" s="1"/>
  <c r="B161" i="5"/>
  <c r="A161" i="5"/>
  <c r="G160" i="5"/>
  <c r="F160" i="5"/>
  <c r="D160" i="5"/>
  <c r="C160" i="5"/>
  <c r="B160" i="5"/>
  <c r="A160" i="5"/>
  <c r="P159" i="5"/>
  <c r="O159" i="5"/>
  <c r="N159" i="5"/>
  <c r="G159" i="5"/>
  <c r="F159" i="5"/>
  <c r="D159" i="5"/>
  <c r="C159" i="5"/>
  <c r="M159" i="5" s="1"/>
  <c r="B159" i="5"/>
  <c r="A159" i="5"/>
  <c r="O158" i="5"/>
  <c r="N158" i="5"/>
  <c r="L158" i="5"/>
  <c r="G158" i="5"/>
  <c r="F158" i="5"/>
  <c r="D158" i="5"/>
  <c r="C158" i="5"/>
  <c r="B158" i="5"/>
  <c r="A158" i="5"/>
  <c r="P157" i="5"/>
  <c r="O157" i="5"/>
  <c r="K157" i="5"/>
  <c r="G157" i="5"/>
  <c r="F157" i="5"/>
  <c r="D157" i="5"/>
  <c r="C157" i="5"/>
  <c r="M157" i="5" s="1"/>
  <c r="B157" i="5"/>
  <c r="A157" i="5"/>
  <c r="P156" i="5"/>
  <c r="O156" i="5"/>
  <c r="N156" i="5"/>
  <c r="M156" i="5"/>
  <c r="L156" i="5"/>
  <c r="G156" i="5"/>
  <c r="F156" i="5"/>
  <c r="D156" i="5"/>
  <c r="C156" i="5"/>
  <c r="K156" i="5" s="1"/>
  <c r="B156" i="5"/>
  <c r="A156" i="5"/>
  <c r="P155" i="5"/>
  <c r="O155" i="5"/>
  <c r="N155" i="5"/>
  <c r="M155" i="5"/>
  <c r="L155" i="5"/>
  <c r="G155" i="5"/>
  <c r="F155" i="5"/>
  <c r="D155" i="5"/>
  <c r="C155" i="5"/>
  <c r="K155" i="5" s="1"/>
  <c r="B155" i="5"/>
  <c r="A155" i="5"/>
  <c r="P154" i="5"/>
  <c r="O154" i="5"/>
  <c r="N154" i="5"/>
  <c r="M154" i="5"/>
  <c r="L154" i="5"/>
  <c r="G154" i="5"/>
  <c r="F154" i="5"/>
  <c r="D154" i="5"/>
  <c r="C154" i="5"/>
  <c r="K154" i="5" s="1"/>
  <c r="B154" i="5"/>
  <c r="A154" i="5"/>
  <c r="P153" i="5"/>
  <c r="O153" i="5"/>
  <c r="N153" i="5"/>
  <c r="M153" i="5"/>
  <c r="L153" i="5"/>
  <c r="G153" i="5"/>
  <c r="F153" i="5"/>
  <c r="D153" i="5"/>
  <c r="C153" i="5"/>
  <c r="K153" i="5" s="1"/>
  <c r="B153" i="5"/>
  <c r="A153" i="5"/>
  <c r="P152" i="5"/>
  <c r="O152" i="5"/>
  <c r="N152" i="5"/>
  <c r="M152" i="5"/>
  <c r="L152" i="5"/>
  <c r="G152" i="5"/>
  <c r="F152" i="5"/>
  <c r="D152" i="5"/>
  <c r="C152" i="5"/>
  <c r="K152" i="5" s="1"/>
  <c r="B152" i="5"/>
  <c r="A152" i="5"/>
  <c r="P151" i="5"/>
  <c r="O151" i="5"/>
  <c r="N151" i="5"/>
  <c r="M151" i="5"/>
  <c r="L151" i="5"/>
  <c r="G151" i="5"/>
  <c r="F151" i="5"/>
  <c r="D151" i="5"/>
  <c r="C151" i="5"/>
  <c r="K151" i="5" s="1"/>
  <c r="B151" i="5"/>
  <c r="A151" i="5"/>
  <c r="P150" i="5"/>
  <c r="O150" i="5"/>
  <c r="N150" i="5"/>
  <c r="M150" i="5"/>
  <c r="L150" i="5"/>
  <c r="G150" i="5"/>
  <c r="F150" i="5"/>
  <c r="D150" i="5"/>
  <c r="C150" i="5"/>
  <c r="K150" i="5" s="1"/>
  <c r="B150" i="5"/>
  <c r="A150" i="5"/>
  <c r="P149" i="5"/>
  <c r="O149" i="5"/>
  <c r="N149" i="5"/>
  <c r="M149" i="5"/>
  <c r="L149" i="5"/>
  <c r="G149" i="5"/>
  <c r="F149" i="5"/>
  <c r="D149" i="5"/>
  <c r="C149" i="5"/>
  <c r="K149" i="5" s="1"/>
  <c r="B149" i="5"/>
  <c r="A149" i="5"/>
  <c r="P148" i="5"/>
  <c r="O148" i="5"/>
  <c r="N148" i="5"/>
  <c r="M148" i="5"/>
  <c r="L148" i="5"/>
  <c r="G148" i="5"/>
  <c r="F148" i="5"/>
  <c r="D148" i="5"/>
  <c r="C148" i="5"/>
  <c r="K148" i="5" s="1"/>
  <c r="B148" i="5"/>
  <c r="A148" i="5"/>
  <c r="P147" i="5"/>
  <c r="O147" i="5"/>
  <c r="N147" i="5"/>
  <c r="M147" i="5"/>
  <c r="L147" i="5"/>
  <c r="G147" i="5"/>
  <c r="F147" i="5"/>
  <c r="D147" i="5"/>
  <c r="C147" i="5"/>
  <c r="K147" i="5" s="1"/>
  <c r="B147" i="5"/>
  <c r="A147" i="5"/>
  <c r="P146" i="5"/>
  <c r="O146" i="5"/>
  <c r="N146" i="5"/>
  <c r="M146" i="5"/>
  <c r="L146" i="5"/>
  <c r="G146" i="5"/>
  <c r="F146" i="5"/>
  <c r="D146" i="5"/>
  <c r="C146" i="5"/>
  <c r="K146" i="5" s="1"/>
  <c r="B146" i="5"/>
  <c r="A146" i="5"/>
  <c r="P145" i="5"/>
  <c r="O145" i="5"/>
  <c r="N145" i="5"/>
  <c r="M145" i="5"/>
  <c r="L145" i="5"/>
  <c r="G145" i="5"/>
  <c r="F145" i="5"/>
  <c r="D145" i="5"/>
  <c r="C145" i="5"/>
  <c r="K145" i="5" s="1"/>
  <c r="B145" i="5"/>
  <c r="A145" i="5"/>
  <c r="P144" i="5"/>
  <c r="O144" i="5"/>
  <c r="N144" i="5"/>
  <c r="M144" i="5"/>
  <c r="L144" i="5"/>
  <c r="G144" i="5"/>
  <c r="F144" i="5"/>
  <c r="D144" i="5"/>
  <c r="C144" i="5"/>
  <c r="K144" i="5" s="1"/>
  <c r="B144" i="5"/>
  <c r="A144" i="5"/>
  <c r="P143" i="5"/>
  <c r="O143" i="5"/>
  <c r="N143" i="5"/>
  <c r="M143" i="5"/>
  <c r="L143" i="5"/>
  <c r="G143" i="5"/>
  <c r="F143" i="5"/>
  <c r="D143" i="5"/>
  <c r="C143" i="5"/>
  <c r="K143" i="5" s="1"/>
  <c r="B143" i="5"/>
  <c r="A143" i="5"/>
  <c r="P142" i="5"/>
  <c r="O142" i="5"/>
  <c r="N142" i="5"/>
  <c r="M142" i="5"/>
  <c r="L142" i="5"/>
  <c r="G142" i="5"/>
  <c r="F142" i="5"/>
  <c r="D142" i="5"/>
  <c r="C142" i="5"/>
  <c r="K142" i="5" s="1"/>
  <c r="B142" i="5"/>
  <c r="A142" i="5"/>
  <c r="P141" i="5"/>
  <c r="O141" i="5"/>
  <c r="K141" i="5"/>
  <c r="G141" i="5"/>
  <c r="F141" i="5"/>
  <c r="D141" i="5"/>
  <c r="C141" i="5"/>
  <c r="N141" i="5" s="1"/>
  <c r="B141" i="5"/>
  <c r="A141" i="5"/>
  <c r="P140" i="5"/>
  <c r="O140" i="5"/>
  <c r="N140" i="5"/>
  <c r="G140" i="5"/>
  <c r="F140" i="5"/>
  <c r="D140" i="5"/>
  <c r="C140" i="5"/>
  <c r="M140" i="5" s="1"/>
  <c r="B140" i="5"/>
  <c r="A140" i="5"/>
  <c r="P139" i="5"/>
  <c r="O139" i="5"/>
  <c r="N139" i="5"/>
  <c r="G139" i="5"/>
  <c r="F139" i="5"/>
  <c r="D139" i="5"/>
  <c r="C139" i="5"/>
  <c r="M139" i="5" s="1"/>
  <c r="B139" i="5"/>
  <c r="A139" i="5"/>
  <c r="P138" i="5"/>
  <c r="O138" i="5"/>
  <c r="N138" i="5"/>
  <c r="G138" i="5"/>
  <c r="F138" i="5"/>
  <c r="D138" i="5"/>
  <c r="C138" i="5"/>
  <c r="M138" i="5" s="1"/>
  <c r="B138" i="5"/>
  <c r="A138" i="5"/>
  <c r="P137" i="5"/>
  <c r="O137" i="5"/>
  <c r="N137" i="5"/>
  <c r="L137" i="5"/>
  <c r="G137" i="5"/>
  <c r="F137" i="5"/>
  <c r="D137" i="5"/>
  <c r="C137" i="5"/>
  <c r="M137" i="5" s="1"/>
  <c r="B137" i="5"/>
  <c r="A137" i="5"/>
  <c r="P136" i="5"/>
  <c r="O136" i="5"/>
  <c r="N136" i="5"/>
  <c r="L136" i="5"/>
  <c r="G136" i="5"/>
  <c r="F136" i="5"/>
  <c r="D136" i="5"/>
  <c r="C136" i="5"/>
  <c r="M136" i="5" s="1"/>
  <c r="B136" i="5"/>
  <c r="A136" i="5"/>
  <c r="P135" i="5"/>
  <c r="O135" i="5"/>
  <c r="N135" i="5"/>
  <c r="L135" i="5"/>
  <c r="G135" i="5"/>
  <c r="F135" i="5"/>
  <c r="D135" i="5"/>
  <c r="C135" i="5"/>
  <c r="M135" i="5" s="1"/>
  <c r="B135" i="5"/>
  <c r="A135" i="5"/>
  <c r="P134" i="5"/>
  <c r="O134" i="5"/>
  <c r="N134" i="5"/>
  <c r="L134" i="5"/>
  <c r="G134" i="5"/>
  <c r="F134" i="5"/>
  <c r="D134" i="5"/>
  <c r="C134" i="5"/>
  <c r="M134" i="5" s="1"/>
  <c r="B134" i="5"/>
  <c r="A134" i="5"/>
  <c r="P133" i="5"/>
  <c r="O133" i="5"/>
  <c r="N133" i="5"/>
  <c r="G133" i="5"/>
  <c r="F133" i="5"/>
  <c r="D133" i="5"/>
  <c r="C133" i="5"/>
  <c r="M133" i="5" s="1"/>
  <c r="B133" i="5"/>
  <c r="A133" i="5"/>
  <c r="P132" i="5"/>
  <c r="O132" i="5"/>
  <c r="N132" i="5"/>
  <c r="G132" i="5"/>
  <c r="F132" i="5"/>
  <c r="D132" i="5"/>
  <c r="C132" i="5"/>
  <c r="M132" i="5" s="1"/>
  <c r="B132" i="5"/>
  <c r="A132" i="5"/>
  <c r="P131" i="5"/>
  <c r="O131" i="5"/>
  <c r="N131" i="5"/>
  <c r="G131" i="5"/>
  <c r="F131" i="5"/>
  <c r="D131" i="5"/>
  <c r="C131" i="5"/>
  <c r="M131" i="5" s="1"/>
  <c r="B131" i="5"/>
  <c r="A131" i="5"/>
  <c r="P130" i="5"/>
  <c r="O130" i="5"/>
  <c r="N130" i="5"/>
  <c r="G130" i="5"/>
  <c r="F130" i="5"/>
  <c r="D130" i="5"/>
  <c r="C130" i="5"/>
  <c r="M130" i="5" s="1"/>
  <c r="B130" i="5"/>
  <c r="A130" i="5"/>
  <c r="P129" i="5"/>
  <c r="O129" i="5"/>
  <c r="N129" i="5"/>
  <c r="G129" i="5"/>
  <c r="F129" i="5"/>
  <c r="D129" i="5"/>
  <c r="C129" i="5"/>
  <c r="M129" i="5" s="1"/>
  <c r="B129" i="5"/>
  <c r="A129" i="5"/>
  <c r="P128" i="5"/>
  <c r="N128" i="5"/>
  <c r="G128" i="5"/>
  <c r="F128" i="5"/>
  <c r="D128" i="5"/>
  <c r="C128" i="5"/>
  <c r="M128" i="5" s="1"/>
  <c r="B128" i="5"/>
  <c r="A128" i="5"/>
  <c r="P127" i="5"/>
  <c r="N127" i="5"/>
  <c r="G127" i="5"/>
  <c r="F127" i="5"/>
  <c r="D127" i="5"/>
  <c r="C127" i="5"/>
  <c r="M127" i="5" s="1"/>
  <c r="B127" i="5"/>
  <c r="A127" i="5"/>
  <c r="P126" i="5"/>
  <c r="N126" i="5"/>
  <c r="G126" i="5"/>
  <c r="F126" i="5"/>
  <c r="D126" i="5"/>
  <c r="C126" i="5"/>
  <c r="M126" i="5" s="1"/>
  <c r="B126" i="5"/>
  <c r="A126" i="5"/>
  <c r="P125" i="5"/>
  <c r="N125" i="5"/>
  <c r="G125" i="5"/>
  <c r="F125" i="5"/>
  <c r="D125" i="5"/>
  <c r="C125" i="5"/>
  <c r="M125" i="5" s="1"/>
  <c r="B125" i="5"/>
  <c r="A125" i="5"/>
  <c r="P124" i="5"/>
  <c r="N124" i="5"/>
  <c r="G124" i="5"/>
  <c r="F124" i="5"/>
  <c r="D124" i="5"/>
  <c r="C124" i="5"/>
  <c r="M124" i="5" s="1"/>
  <c r="B124" i="5"/>
  <c r="A124" i="5"/>
  <c r="P123" i="5"/>
  <c r="N123" i="5"/>
  <c r="G123" i="5"/>
  <c r="F123" i="5"/>
  <c r="D123" i="5"/>
  <c r="C123" i="5"/>
  <c r="M123" i="5" s="1"/>
  <c r="B123" i="5"/>
  <c r="A123" i="5"/>
  <c r="P122" i="5"/>
  <c r="N122" i="5"/>
  <c r="G122" i="5"/>
  <c r="F122" i="5"/>
  <c r="D122" i="5"/>
  <c r="C122" i="5"/>
  <c r="M122" i="5" s="1"/>
  <c r="B122" i="5"/>
  <c r="A122" i="5"/>
  <c r="P121" i="5"/>
  <c r="N121" i="5"/>
  <c r="G121" i="5"/>
  <c r="F121" i="5"/>
  <c r="D121" i="5"/>
  <c r="C121" i="5"/>
  <c r="M121" i="5" s="1"/>
  <c r="B121" i="5"/>
  <c r="A121" i="5"/>
  <c r="P120" i="5"/>
  <c r="N120" i="5"/>
  <c r="G120" i="5"/>
  <c r="F120" i="5"/>
  <c r="D120" i="5"/>
  <c r="C120" i="5"/>
  <c r="M120" i="5" s="1"/>
  <c r="B120" i="5"/>
  <c r="A120" i="5"/>
  <c r="P119" i="5"/>
  <c r="N119" i="5"/>
  <c r="M119" i="5"/>
  <c r="L119" i="5"/>
  <c r="G119" i="5"/>
  <c r="F119" i="5"/>
  <c r="D119" i="5"/>
  <c r="C119" i="5"/>
  <c r="K119" i="5" s="1"/>
  <c r="B119" i="5"/>
  <c r="A119" i="5"/>
  <c r="P118" i="5"/>
  <c r="N118" i="5"/>
  <c r="M118" i="5"/>
  <c r="L118" i="5"/>
  <c r="G118" i="5"/>
  <c r="F118" i="5"/>
  <c r="D118" i="5"/>
  <c r="C118" i="5"/>
  <c r="K118" i="5" s="1"/>
  <c r="B118" i="5"/>
  <c r="A118" i="5"/>
  <c r="P117" i="5"/>
  <c r="N117" i="5"/>
  <c r="M117" i="5"/>
  <c r="G117" i="5"/>
  <c r="F117" i="5"/>
  <c r="D117" i="5"/>
  <c r="C117" i="5"/>
  <c r="L117" i="5" s="1"/>
  <c r="B117" i="5"/>
  <c r="A117" i="5"/>
  <c r="P116" i="5"/>
  <c r="N116" i="5"/>
  <c r="M116" i="5"/>
  <c r="G116" i="5"/>
  <c r="F116" i="5"/>
  <c r="D116" i="5"/>
  <c r="C116" i="5"/>
  <c r="L116" i="5" s="1"/>
  <c r="B116" i="5"/>
  <c r="A116" i="5"/>
  <c r="P115" i="5"/>
  <c r="N115" i="5"/>
  <c r="M115" i="5"/>
  <c r="G115" i="5"/>
  <c r="F115" i="5"/>
  <c r="D115" i="5"/>
  <c r="C115" i="5"/>
  <c r="L115" i="5" s="1"/>
  <c r="B115" i="5"/>
  <c r="A115" i="5"/>
  <c r="P114" i="5"/>
  <c r="N114" i="5"/>
  <c r="G114" i="5"/>
  <c r="F114" i="5"/>
  <c r="D114" i="5"/>
  <c r="C114" i="5"/>
  <c r="M114" i="5" s="1"/>
  <c r="B114" i="5"/>
  <c r="A114" i="5"/>
  <c r="P113" i="5"/>
  <c r="N113" i="5"/>
  <c r="M113" i="5"/>
  <c r="G113" i="5"/>
  <c r="F113" i="5"/>
  <c r="D113" i="5"/>
  <c r="C113" i="5"/>
  <c r="L113" i="5" s="1"/>
  <c r="B113" i="5"/>
  <c r="A113" i="5"/>
  <c r="P112" i="5"/>
  <c r="N112" i="5"/>
  <c r="M112" i="5"/>
  <c r="G112" i="5"/>
  <c r="F112" i="5"/>
  <c r="D112" i="5"/>
  <c r="C112" i="5"/>
  <c r="L112" i="5" s="1"/>
  <c r="B112" i="5"/>
  <c r="A112" i="5"/>
  <c r="P111" i="5"/>
  <c r="N111" i="5"/>
  <c r="M111" i="5"/>
  <c r="G111" i="5"/>
  <c r="F111" i="5"/>
  <c r="D111" i="5"/>
  <c r="C111" i="5"/>
  <c r="L111" i="5" s="1"/>
  <c r="B111" i="5"/>
  <c r="A111" i="5"/>
  <c r="P110" i="5"/>
  <c r="N110" i="5"/>
  <c r="M110" i="5"/>
  <c r="G110" i="5"/>
  <c r="F110" i="5"/>
  <c r="D110" i="5"/>
  <c r="C110" i="5"/>
  <c r="L110" i="5" s="1"/>
  <c r="B110" i="5"/>
  <c r="A110" i="5"/>
  <c r="P109" i="5"/>
  <c r="N109" i="5"/>
  <c r="M109" i="5"/>
  <c r="G109" i="5"/>
  <c r="F109" i="5"/>
  <c r="D109" i="5"/>
  <c r="C109" i="5"/>
  <c r="L109" i="5" s="1"/>
  <c r="B109" i="5"/>
  <c r="A109" i="5"/>
  <c r="P108" i="5"/>
  <c r="N108" i="5"/>
  <c r="M108" i="5"/>
  <c r="G108" i="5"/>
  <c r="F108" i="5"/>
  <c r="D108" i="5"/>
  <c r="C108" i="5"/>
  <c r="L108" i="5" s="1"/>
  <c r="B108" i="5"/>
  <c r="A108" i="5"/>
  <c r="P107" i="5"/>
  <c r="O107" i="5"/>
  <c r="N107" i="5"/>
  <c r="G107" i="5"/>
  <c r="F107" i="5"/>
  <c r="D107" i="5"/>
  <c r="C107" i="5"/>
  <c r="M107" i="5" s="1"/>
  <c r="B107" i="5"/>
  <c r="A107" i="5"/>
  <c r="P106" i="5"/>
  <c r="O106" i="5"/>
  <c r="N106" i="5"/>
  <c r="G106" i="5"/>
  <c r="F106" i="5"/>
  <c r="D106" i="5"/>
  <c r="C106" i="5"/>
  <c r="M106" i="5" s="1"/>
  <c r="B106" i="5"/>
  <c r="A106" i="5"/>
  <c r="P105" i="5"/>
  <c r="O105" i="5"/>
  <c r="N105" i="5"/>
  <c r="G105" i="5"/>
  <c r="F105" i="5"/>
  <c r="D105" i="5"/>
  <c r="C105" i="5"/>
  <c r="M105" i="5" s="1"/>
  <c r="B105" i="5"/>
  <c r="A105" i="5"/>
  <c r="P104" i="5"/>
  <c r="N104" i="5"/>
  <c r="G104" i="5"/>
  <c r="F104" i="5"/>
  <c r="D104" i="5"/>
  <c r="C104" i="5"/>
  <c r="M104" i="5" s="1"/>
  <c r="B104" i="5"/>
  <c r="A104" i="5"/>
  <c r="P103" i="5"/>
  <c r="N103" i="5"/>
  <c r="G103" i="5"/>
  <c r="F103" i="5"/>
  <c r="D103" i="5"/>
  <c r="C103" i="5"/>
  <c r="M103" i="5" s="1"/>
  <c r="B103" i="5"/>
  <c r="A103" i="5"/>
  <c r="P102" i="5"/>
  <c r="N102" i="5"/>
  <c r="G102" i="5"/>
  <c r="F102" i="5"/>
  <c r="D102" i="5"/>
  <c r="C102" i="5"/>
  <c r="M102" i="5" s="1"/>
  <c r="B102" i="5"/>
  <c r="A102" i="5"/>
  <c r="P101" i="5"/>
  <c r="N101" i="5"/>
  <c r="G101" i="5"/>
  <c r="F101" i="5"/>
  <c r="D101" i="5"/>
  <c r="C101" i="5"/>
  <c r="M101" i="5" s="1"/>
  <c r="B101" i="5"/>
  <c r="A101" i="5"/>
  <c r="P100" i="5"/>
  <c r="N100" i="5"/>
  <c r="G100" i="5"/>
  <c r="F100" i="5"/>
  <c r="D100" i="5"/>
  <c r="C100" i="5"/>
  <c r="M100" i="5" s="1"/>
  <c r="B100" i="5"/>
  <c r="A100" i="5"/>
  <c r="P99" i="5"/>
  <c r="N99" i="5"/>
  <c r="G99" i="5"/>
  <c r="F99" i="5"/>
  <c r="D99" i="5"/>
  <c r="C99" i="5"/>
  <c r="M99" i="5" s="1"/>
  <c r="B99" i="5"/>
  <c r="A99" i="5"/>
  <c r="P98" i="5"/>
  <c r="N98" i="5"/>
  <c r="G98" i="5"/>
  <c r="F98" i="5"/>
  <c r="D98" i="5"/>
  <c r="C98" i="5"/>
  <c r="M98" i="5" s="1"/>
  <c r="B98" i="5"/>
  <c r="A98" i="5"/>
  <c r="P97" i="5"/>
  <c r="N97" i="5"/>
  <c r="G97" i="5"/>
  <c r="F97" i="5"/>
  <c r="D97" i="5"/>
  <c r="C97" i="5"/>
  <c r="M97" i="5" s="1"/>
  <c r="B97" i="5"/>
  <c r="A97" i="5"/>
  <c r="P96" i="5"/>
  <c r="O96" i="5"/>
  <c r="N96" i="5"/>
  <c r="L96" i="5"/>
  <c r="G96" i="5"/>
  <c r="F96" i="5"/>
  <c r="D96" i="5"/>
  <c r="C96" i="5"/>
  <c r="M96" i="5" s="1"/>
  <c r="B96" i="5"/>
  <c r="A96" i="5"/>
  <c r="P95" i="5"/>
  <c r="O95" i="5"/>
  <c r="N95" i="5"/>
  <c r="L95" i="5"/>
  <c r="G95" i="5"/>
  <c r="F95" i="5"/>
  <c r="D95" i="5"/>
  <c r="C95" i="5"/>
  <c r="M95" i="5" s="1"/>
  <c r="B95" i="5"/>
  <c r="A95" i="5"/>
  <c r="P94" i="5"/>
  <c r="O94" i="5"/>
  <c r="N94" i="5"/>
  <c r="L94" i="5"/>
  <c r="G94" i="5"/>
  <c r="F94" i="5"/>
  <c r="D94" i="5"/>
  <c r="C94" i="5"/>
  <c r="M94" i="5" s="1"/>
  <c r="B94" i="5"/>
  <c r="A94" i="5"/>
  <c r="P93" i="5"/>
  <c r="O93" i="5"/>
  <c r="N93" i="5"/>
  <c r="L93" i="5"/>
  <c r="G93" i="5"/>
  <c r="F93" i="5"/>
  <c r="D93" i="5"/>
  <c r="C93" i="5"/>
  <c r="M93" i="5" s="1"/>
  <c r="B93" i="5"/>
  <c r="A93" i="5"/>
  <c r="P92" i="5"/>
  <c r="O92" i="5"/>
  <c r="N92" i="5"/>
  <c r="L92" i="5"/>
  <c r="G92" i="5"/>
  <c r="F92" i="5"/>
  <c r="D92" i="5"/>
  <c r="C92" i="5"/>
  <c r="M92" i="5" s="1"/>
  <c r="B92" i="5"/>
  <c r="A92" i="5"/>
  <c r="P91" i="5"/>
  <c r="O91" i="5"/>
  <c r="N91" i="5"/>
  <c r="L91" i="5"/>
  <c r="G91" i="5"/>
  <c r="F91" i="5"/>
  <c r="D91" i="5"/>
  <c r="C91" i="5"/>
  <c r="M91" i="5" s="1"/>
  <c r="B91" i="5"/>
  <c r="A91" i="5"/>
  <c r="P90" i="5"/>
  <c r="O90" i="5"/>
  <c r="N90" i="5"/>
  <c r="L90" i="5"/>
  <c r="G90" i="5"/>
  <c r="F90" i="5"/>
  <c r="D90" i="5"/>
  <c r="C90" i="5"/>
  <c r="M90" i="5" s="1"/>
  <c r="B90" i="5"/>
  <c r="A90" i="5"/>
  <c r="P89" i="5"/>
  <c r="O89" i="5"/>
  <c r="N89" i="5"/>
  <c r="L89" i="5"/>
  <c r="G89" i="5"/>
  <c r="F89" i="5"/>
  <c r="D89" i="5"/>
  <c r="C89" i="5"/>
  <c r="M89" i="5" s="1"/>
  <c r="B89" i="5"/>
  <c r="A89" i="5"/>
  <c r="P88" i="5"/>
  <c r="O88" i="5"/>
  <c r="N88" i="5"/>
  <c r="L88" i="5"/>
  <c r="G88" i="5"/>
  <c r="F88" i="5"/>
  <c r="D88" i="5"/>
  <c r="C88" i="5"/>
  <c r="M88" i="5" s="1"/>
  <c r="B88" i="5"/>
  <c r="A88" i="5"/>
  <c r="P87" i="5"/>
  <c r="O87" i="5"/>
  <c r="N87" i="5"/>
  <c r="L87" i="5"/>
  <c r="G87" i="5"/>
  <c r="F87" i="5"/>
  <c r="D87" i="5"/>
  <c r="C87" i="5"/>
  <c r="M87" i="5" s="1"/>
  <c r="B87" i="5"/>
  <c r="A87" i="5"/>
  <c r="P86" i="5"/>
  <c r="N86" i="5"/>
  <c r="L86" i="5"/>
  <c r="G86" i="5"/>
  <c r="F86" i="5"/>
  <c r="D86" i="5"/>
  <c r="C86" i="5"/>
  <c r="M86" i="5" s="1"/>
  <c r="B86" i="5"/>
  <c r="A86" i="5"/>
  <c r="P85" i="5"/>
  <c r="N85" i="5"/>
  <c r="G85" i="5"/>
  <c r="F85" i="5"/>
  <c r="D85" i="5"/>
  <c r="C85" i="5"/>
  <c r="M85" i="5" s="1"/>
  <c r="B85" i="5"/>
  <c r="A85" i="5"/>
  <c r="P84" i="5"/>
  <c r="N84" i="5"/>
  <c r="G84" i="5"/>
  <c r="F84" i="5"/>
  <c r="D84" i="5"/>
  <c r="C84" i="5"/>
  <c r="M84" i="5" s="1"/>
  <c r="B84" i="5"/>
  <c r="A84" i="5"/>
  <c r="P83" i="5"/>
  <c r="N83" i="5"/>
  <c r="G83" i="5"/>
  <c r="F83" i="5"/>
  <c r="D83" i="5"/>
  <c r="C83" i="5"/>
  <c r="M83" i="5" s="1"/>
  <c r="B83" i="5"/>
  <c r="A83" i="5"/>
  <c r="P82" i="5"/>
  <c r="N82" i="5"/>
  <c r="G82" i="5"/>
  <c r="F82" i="5"/>
  <c r="D82" i="5"/>
  <c r="C82" i="5"/>
  <c r="M82" i="5" s="1"/>
  <c r="B82" i="5"/>
  <c r="A82" i="5"/>
  <c r="P81" i="5"/>
  <c r="N81" i="5"/>
  <c r="G81" i="5"/>
  <c r="F81" i="5"/>
  <c r="D81" i="5"/>
  <c r="C81" i="5"/>
  <c r="M81" i="5" s="1"/>
  <c r="B81" i="5"/>
  <c r="A81" i="5"/>
  <c r="P80" i="5"/>
  <c r="N80" i="5"/>
  <c r="G80" i="5"/>
  <c r="F80" i="5"/>
  <c r="D80" i="5"/>
  <c r="C80" i="5"/>
  <c r="M80" i="5" s="1"/>
  <c r="B80" i="5"/>
  <c r="A80" i="5"/>
  <c r="P79" i="5"/>
  <c r="N79" i="5"/>
  <c r="G79" i="5"/>
  <c r="F79" i="5"/>
  <c r="D79" i="5"/>
  <c r="C79" i="5"/>
  <c r="M79" i="5" s="1"/>
  <c r="B79" i="5"/>
  <c r="A79" i="5"/>
  <c r="P78" i="5"/>
  <c r="N78" i="5"/>
  <c r="G78" i="5"/>
  <c r="F78" i="5"/>
  <c r="D78" i="5"/>
  <c r="C78" i="5"/>
  <c r="M78" i="5" s="1"/>
  <c r="B78" i="5"/>
  <c r="A78" i="5"/>
  <c r="P77" i="5"/>
  <c r="N77" i="5"/>
  <c r="G77" i="5"/>
  <c r="F77" i="5"/>
  <c r="D77" i="5"/>
  <c r="C77" i="5"/>
  <c r="M77" i="5" s="1"/>
  <c r="B77" i="5"/>
  <c r="A77" i="5"/>
  <c r="P76" i="5"/>
  <c r="N76" i="5"/>
  <c r="G76" i="5"/>
  <c r="F76" i="5"/>
  <c r="D76" i="5"/>
  <c r="C76" i="5"/>
  <c r="M76" i="5" s="1"/>
  <c r="B76" i="5"/>
  <c r="A76" i="5"/>
  <c r="P75" i="5"/>
  <c r="N75" i="5"/>
  <c r="G75" i="5"/>
  <c r="F75" i="5"/>
  <c r="D75" i="5"/>
  <c r="C75" i="5"/>
  <c r="M75" i="5" s="1"/>
  <c r="B75" i="5"/>
  <c r="A75" i="5"/>
  <c r="P74" i="5"/>
  <c r="N74" i="5"/>
  <c r="G74" i="5"/>
  <c r="F74" i="5"/>
  <c r="D74" i="5"/>
  <c r="C74" i="5"/>
  <c r="M74" i="5" s="1"/>
  <c r="B74" i="5"/>
  <c r="A74" i="5"/>
  <c r="P73" i="5"/>
  <c r="N73" i="5"/>
  <c r="G73" i="5"/>
  <c r="F73" i="5"/>
  <c r="D73" i="5"/>
  <c r="C73" i="5"/>
  <c r="M73" i="5" s="1"/>
  <c r="B73" i="5"/>
  <c r="A73" i="5"/>
  <c r="P72" i="5"/>
  <c r="O72" i="5"/>
  <c r="N72" i="5"/>
  <c r="M72" i="5"/>
  <c r="G72" i="5"/>
  <c r="F72" i="5"/>
  <c r="D72" i="5"/>
  <c r="C72" i="5"/>
  <c r="L72" i="5" s="1"/>
  <c r="B72" i="5"/>
  <c r="A72" i="5"/>
  <c r="P71" i="5"/>
  <c r="O71" i="5"/>
  <c r="N71" i="5"/>
  <c r="M71" i="5"/>
  <c r="G71" i="5"/>
  <c r="F71" i="5"/>
  <c r="D71" i="5"/>
  <c r="C71" i="5"/>
  <c r="L71" i="5" s="1"/>
  <c r="B71" i="5"/>
  <c r="A71" i="5"/>
  <c r="P70" i="5"/>
  <c r="O70" i="5"/>
  <c r="N70" i="5"/>
  <c r="M70" i="5"/>
  <c r="G70" i="5"/>
  <c r="F70" i="5"/>
  <c r="D70" i="5"/>
  <c r="C70" i="5"/>
  <c r="L70" i="5" s="1"/>
  <c r="B70" i="5"/>
  <c r="A70" i="5"/>
  <c r="P69" i="5"/>
  <c r="O69" i="5"/>
  <c r="N69" i="5"/>
  <c r="M69" i="5"/>
  <c r="G69" i="5"/>
  <c r="F69" i="5"/>
  <c r="D69" i="5"/>
  <c r="C69" i="5"/>
  <c r="L69" i="5" s="1"/>
  <c r="B69" i="5"/>
  <c r="A69" i="5"/>
  <c r="P68" i="5"/>
  <c r="O68" i="5"/>
  <c r="N68" i="5"/>
  <c r="M68" i="5"/>
  <c r="G68" i="5"/>
  <c r="F68" i="5"/>
  <c r="D68" i="5"/>
  <c r="C68" i="5"/>
  <c r="L68" i="5" s="1"/>
  <c r="B68" i="5"/>
  <c r="A68" i="5"/>
  <c r="P67" i="5"/>
  <c r="O67" i="5"/>
  <c r="N67" i="5"/>
  <c r="M67" i="5"/>
  <c r="G67" i="5"/>
  <c r="F67" i="5"/>
  <c r="D67" i="5"/>
  <c r="C67" i="5"/>
  <c r="L67" i="5" s="1"/>
  <c r="B67" i="5"/>
  <c r="A67" i="5"/>
  <c r="P66" i="5"/>
  <c r="O66" i="5"/>
  <c r="N66" i="5"/>
  <c r="M66" i="5"/>
  <c r="G66" i="5"/>
  <c r="F66" i="5"/>
  <c r="D66" i="5"/>
  <c r="C66" i="5"/>
  <c r="L66" i="5" s="1"/>
  <c r="B66" i="5"/>
  <c r="A66" i="5"/>
  <c r="P65" i="5"/>
  <c r="O65" i="5"/>
  <c r="N65" i="5"/>
  <c r="M65" i="5"/>
  <c r="G65" i="5"/>
  <c r="F65" i="5"/>
  <c r="D65" i="5"/>
  <c r="C65" i="5"/>
  <c r="L65" i="5" s="1"/>
  <c r="B65" i="5"/>
  <c r="A65" i="5"/>
  <c r="P64" i="5"/>
  <c r="O64" i="5"/>
  <c r="N64" i="5"/>
  <c r="M64" i="5"/>
  <c r="G64" i="5"/>
  <c r="F64" i="5"/>
  <c r="D64" i="5"/>
  <c r="C64" i="5"/>
  <c r="L64" i="5" s="1"/>
  <c r="B64" i="5"/>
  <c r="A64" i="5"/>
  <c r="P63" i="5"/>
  <c r="O63" i="5"/>
  <c r="N63" i="5"/>
  <c r="M63" i="5"/>
  <c r="G63" i="5"/>
  <c r="F63" i="5"/>
  <c r="D63" i="5"/>
  <c r="C63" i="5"/>
  <c r="L63" i="5" s="1"/>
  <c r="B63" i="5"/>
  <c r="A63" i="5"/>
  <c r="P62" i="5"/>
  <c r="O62" i="5"/>
  <c r="N62" i="5"/>
  <c r="M62" i="5"/>
  <c r="G62" i="5"/>
  <c r="F62" i="5"/>
  <c r="D62" i="5"/>
  <c r="C62" i="5"/>
  <c r="L62" i="5" s="1"/>
  <c r="B62" i="5"/>
  <c r="A62" i="5"/>
  <c r="P61" i="5"/>
  <c r="O61" i="5"/>
  <c r="N61" i="5"/>
  <c r="M61" i="5"/>
  <c r="G61" i="5"/>
  <c r="F61" i="5"/>
  <c r="D61" i="5"/>
  <c r="C61" i="5"/>
  <c r="L61" i="5" s="1"/>
  <c r="B61" i="5"/>
  <c r="A61" i="5"/>
  <c r="P60" i="5"/>
  <c r="O60" i="5"/>
  <c r="N60" i="5"/>
  <c r="M60" i="5"/>
  <c r="G60" i="5"/>
  <c r="F60" i="5"/>
  <c r="D60" i="5"/>
  <c r="C60" i="5"/>
  <c r="L60" i="5" s="1"/>
  <c r="B60" i="5"/>
  <c r="A60" i="5"/>
  <c r="P59" i="5"/>
  <c r="O59" i="5"/>
  <c r="N59" i="5"/>
  <c r="M59" i="5"/>
  <c r="G59" i="5"/>
  <c r="F59" i="5"/>
  <c r="D59" i="5"/>
  <c r="C59" i="5"/>
  <c r="L59" i="5" s="1"/>
  <c r="B59" i="5"/>
  <c r="A59" i="5"/>
  <c r="P58" i="5"/>
  <c r="O58" i="5"/>
  <c r="N58" i="5"/>
  <c r="M58" i="5"/>
  <c r="G58" i="5"/>
  <c r="F58" i="5"/>
  <c r="D58" i="5"/>
  <c r="C58" i="5"/>
  <c r="L58" i="5" s="1"/>
  <c r="B58" i="5"/>
  <c r="A58" i="5"/>
  <c r="P57" i="5"/>
  <c r="O57" i="5"/>
  <c r="N57" i="5"/>
  <c r="M57" i="5"/>
  <c r="G57" i="5"/>
  <c r="F57" i="5"/>
  <c r="D57" i="5"/>
  <c r="C57" i="5"/>
  <c r="L57" i="5" s="1"/>
  <c r="B57" i="5"/>
  <c r="A57" i="5"/>
  <c r="P56" i="5"/>
  <c r="O56" i="5"/>
  <c r="N56" i="5"/>
  <c r="M56" i="5"/>
  <c r="G56" i="5"/>
  <c r="F56" i="5"/>
  <c r="D56" i="5"/>
  <c r="C56" i="5"/>
  <c r="L56" i="5" s="1"/>
  <c r="B56" i="5"/>
  <c r="A56" i="5"/>
  <c r="K55" i="5"/>
  <c r="G55" i="5"/>
  <c r="F55" i="5"/>
  <c r="D55" i="5"/>
  <c r="C55" i="5"/>
  <c r="B55" i="5"/>
  <c r="A55" i="5"/>
  <c r="P54" i="5"/>
  <c r="K54" i="5"/>
  <c r="G54" i="5"/>
  <c r="F54" i="5"/>
  <c r="D54" i="5"/>
  <c r="C54" i="5"/>
  <c r="B54" i="5"/>
  <c r="A54" i="5"/>
  <c r="K53" i="5"/>
  <c r="G53" i="5"/>
  <c r="F53" i="5"/>
  <c r="D53" i="5"/>
  <c r="C53" i="5"/>
  <c r="O53" i="5" s="1"/>
  <c r="B53" i="5"/>
  <c r="A53" i="5"/>
  <c r="O52" i="5"/>
  <c r="K52" i="5"/>
  <c r="G52" i="5"/>
  <c r="F52" i="5"/>
  <c r="D52" i="5"/>
  <c r="C52" i="5"/>
  <c r="B52" i="5"/>
  <c r="A52" i="5"/>
  <c r="G51" i="5"/>
  <c r="F51" i="5"/>
  <c r="D51" i="5"/>
  <c r="C51" i="5"/>
  <c r="B51" i="5"/>
  <c r="A51" i="5"/>
  <c r="P50" i="5"/>
  <c r="O50" i="5"/>
  <c r="G50" i="5"/>
  <c r="F50" i="5"/>
  <c r="D50" i="5"/>
  <c r="C50" i="5"/>
  <c r="B50" i="5"/>
  <c r="A50" i="5"/>
  <c r="O49" i="5"/>
  <c r="K49" i="5"/>
  <c r="G49" i="5"/>
  <c r="F49" i="5"/>
  <c r="D49" i="5"/>
  <c r="C49" i="5"/>
  <c r="B49" i="5"/>
  <c r="A49" i="5"/>
  <c r="G48" i="5"/>
  <c r="F48" i="5"/>
  <c r="D48" i="5"/>
  <c r="C48" i="5"/>
  <c r="B48" i="5"/>
  <c r="A48" i="5"/>
  <c r="G47" i="5"/>
  <c r="F47" i="5"/>
  <c r="D47" i="5"/>
  <c r="C47" i="5"/>
  <c r="B47" i="5"/>
  <c r="A47" i="5"/>
  <c r="O46" i="5"/>
  <c r="K46" i="5"/>
  <c r="G46" i="5"/>
  <c r="F46" i="5"/>
  <c r="D46" i="5"/>
  <c r="C46" i="5"/>
  <c r="B46" i="5"/>
  <c r="A46" i="5"/>
  <c r="K45" i="5"/>
  <c r="G45" i="5"/>
  <c r="F45" i="5"/>
  <c r="D45" i="5"/>
  <c r="C45" i="5"/>
  <c r="O45" i="5" s="1"/>
  <c r="B45" i="5"/>
  <c r="A45" i="5"/>
  <c r="AF44" i="5"/>
  <c r="AE44" i="5"/>
  <c r="AD44" i="5"/>
  <c r="AC44" i="5"/>
  <c r="AB44" i="5"/>
  <c r="P44" i="5"/>
  <c r="N44" i="5"/>
  <c r="M44" i="5"/>
  <c r="L44" i="5"/>
  <c r="G44" i="5"/>
  <c r="F44" i="5"/>
  <c r="D44" i="5"/>
  <c r="C44" i="5"/>
  <c r="K44" i="5" s="1"/>
  <c r="B44" i="5"/>
  <c r="A44" i="5"/>
  <c r="AF43" i="5"/>
  <c r="AE43" i="5"/>
  <c r="AD43" i="5"/>
  <c r="AC43" i="5"/>
  <c r="AB43" i="5"/>
  <c r="K43" i="5"/>
  <c r="G43" i="5"/>
  <c r="F43" i="5"/>
  <c r="D43" i="5"/>
  <c r="C43" i="5"/>
  <c r="B43" i="5"/>
  <c r="A43" i="5"/>
  <c r="AF42" i="5"/>
  <c r="AE42" i="5"/>
  <c r="AD42" i="5"/>
  <c r="AC42" i="5"/>
  <c r="AB42" i="5"/>
  <c r="P42" i="5"/>
  <c r="O42" i="5"/>
  <c r="N42" i="5"/>
  <c r="M42" i="5"/>
  <c r="G42" i="5"/>
  <c r="F42" i="5"/>
  <c r="D42" i="5"/>
  <c r="C42" i="5"/>
  <c r="L42" i="5" s="1"/>
  <c r="B42" i="5"/>
  <c r="A42" i="5"/>
  <c r="AF41" i="5"/>
  <c r="AE41" i="5"/>
  <c r="AD41" i="5"/>
  <c r="AC41" i="5"/>
  <c r="AB41" i="5"/>
  <c r="O41" i="5"/>
  <c r="M41" i="5"/>
  <c r="G41" i="5"/>
  <c r="F41" i="5"/>
  <c r="D41" i="5"/>
  <c r="C41" i="5"/>
  <c r="B41" i="5"/>
  <c r="A41" i="5"/>
  <c r="AF40" i="5"/>
  <c r="AE40" i="5"/>
  <c r="AD40" i="5"/>
  <c r="AC40" i="5"/>
  <c r="AB40" i="5"/>
  <c r="P40" i="5"/>
  <c r="O40" i="5"/>
  <c r="N40" i="5"/>
  <c r="M40" i="5"/>
  <c r="L40" i="5"/>
  <c r="G40" i="5"/>
  <c r="F40" i="5"/>
  <c r="D40" i="5"/>
  <c r="C40" i="5"/>
  <c r="K40" i="5" s="1"/>
  <c r="B40" i="5"/>
  <c r="A40" i="5"/>
  <c r="AF39" i="5"/>
  <c r="AE39" i="5"/>
  <c r="AD39" i="5"/>
  <c r="AC39" i="5"/>
  <c r="AB39" i="5"/>
  <c r="O39" i="5"/>
  <c r="N39" i="5"/>
  <c r="M39" i="5"/>
  <c r="L39" i="5"/>
  <c r="G39" i="5"/>
  <c r="F39" i="5"/>
  <c r="D39" i="5"/>
  <c r="C39" i="5"/>
  <c r="K39" i="5" s="1"/>
  <c r="B39" i="5"/>
  <c r="A39" i="5"/>
  <c r="AF38" i="5"/>
  <c r="AE38" i="5"/>
  <c r="AD38" i="5"/>
  <c r="AC38" i="5"/>
  <c r="AB38" i="5"/>
  <c r="L38" i="5"/>
  <c r="K38" i="5"/>
  <c r="G38" i="5"/>
  <c r="F38" i="5"/>
  <c r="D38" i="5"/>
  <c r="C38" i="5"/>
  <c r="B38" i="5"/>
  <c r="A38" i="5"/>
  <c r="AF37" i="5"/>
  <c r="AE37" i="5"/>
  <c r="AD37" i="5"/>
  <c r="AC37" i="5"/>
  <c r="AB37" i="5"/>
  <c r="P37" i="5"/>
  <c r="N37" i="5"/>
  <c r="K37" i="5"/>
  <c r="G37" i="5"/>
  <c r="F37" i="5"/>
  <c r="D37" i="5"/>
  <c r="C37" i="5"/>
  <c r="B37" i="5"/>
  <c r="A37" i="5"/>
  <c r="AF36" i="5"/>
  <c r="AE36" i="5"/>
  <c r="AD36" i="5"/>
  <c r="AC36" i="5"/>
  <c r="AB36" i="5"/>
  <c r="N36" i="5"/>
  <c r="M36" i="5"/>
  <c r="G36" i="5"/>
  <c r="F36" i="5"/>
  <c r="D36" i="5"/>
  <c r="C36" i="5"/>
  <c r="B36" i="5"/>
  <c r="A36" i="5"/>
  <c r="AF35" i="5"/>
  <c r="AE35" i="5"/>
  <c r="AD35" i="5"/>
  <c r="AC35" i="5"/>
  <c r="AB35" i="5"/>
  <c r="P35" i="5"/>
  <c r="N35" i="5"/>
  <c r="M35" i="5"/>
  <c r="G35" i="5"/>
  <c r="F35" i="5"/>
  <c r="D35" i="5"/>
  <c r="C35" i="5"/>
  <c r="B35" i="5"/>
  <c r="A35" i="5"/>
  <c r="AF34" i="5"/>
  <c r="AE34" i="5"/>
  <c r="AD34" i="5"/>
  <c r="AC34" i="5"/>
  <c r="AB34" i="5"/>
  <c r="L34" i="5"/>
  <c r="G34" i="5"/>
  <c r="F34" i="5"/>
  <c r="D34" i="5"/>
  <c r="C34" i="5"/>
  <c r="B34" i="5"/>
  <c r="A34" i="5"/>
  <c r="AF33" i="5"/>
  <c r="AE33" i="5"/>
  <c r="AD33" i="5"/>
  <c r="AC33" i="5"/>
  <c r="AB33" i="5"/>
  <c r="M33" i="5"/>
  <c r="K33" i="5"/>
  <c r="G33" i="5"/>
  <c r="F33" i="5"/>
  <c r="D33" i="5"/>
  <c r="C33" i="5"/>
  <c r="B33" i="5"/>
  <c r="A33" i="5"/>
  <c r="AF32" i="5"/>
  <c r="AE32" i="5"/>
  <c r="AD32" i="5"/>
  <c r="AC32" i="5"/>
  <c r="AB32" i="5"/>
  <c r="P32" i="5"/>
  <c r="O32" i="5"/>
  <c r="N32" i="5"/>
  <c r="L32" i="5"/>
  <c r="G32" i="5"/>
  <c r="F32" i="5"/>
  <c r="D32" i="5"/>
  <c r="C32" i="5"/>
  <c r="M32" i="5" s="1"/>
  <c r="B32" i="5"/>
  <c r="A32" i="5"/>
  <c r="AF31" i="5"/>
  <c r="AE31" i="5"/>
  <c r="AD31" i="5"/>
  <c r="AC31" i="5"/>
  <c r="AB31" i="5"/>
  <c r="O31" i="5"/>
  <c r="N31" i="5"/>
  <c r="L31" i="5"/>
  <c r="K31" i="5"/>
  <c r="G31" i="5"/>
  <c r="F31" i="5"/>
  <c r="D31" i="5"/>
  <c r="C31" i="5"/>
  <c r="B31" i="5"/>
  <c r="A31" i="5"/>
  <c r="AF30" i="5"/>
  <c r="AE30" i="5"/>
  <c r="AD30" i="5"/>
  <c r="AC30" i="5"/>
  <c r="AB30" i="5"/>
  <c r="P30" i="5"/>
  <c r="K30" i="5"/>
  <c r="G30" i="5"/>
  <c r="F30" i="5"/>
  <c r="D30" i="5"/>
  <c r="C30" i="5"/>
  <c r="B30" i="5"/>
  <c r="A30" i="5"/>
  <c r="AF29" i="5"/>
  <c r="AE29" i="5"/>
  <c r="AD29" i="5"/>
  <c r="AC29" i="5"/>
  <c r="AB29" i="5"/>
  <c r="P29" i="5"/>
  <c r="O29" i="5"/>
  <c r="N29" i="5"/>
  <c r="M29" i="5"/>
  <c r="G29" i="5"/>
  <c r="F29" i="5"/>
  <c r="D29" i="5"/>
  <c r="C29" i="5"/>
  <c r="L29" i="5" s="1"/>
  <c r="B29" i="5"/>
  <c r="A29" i="5"/>
  <c r="AF28" i="5"/>
  <c r="AE28" i="5"/>
  <c r="AD28" i="5"/>
  <c r="AC28" i="5"/>
  <c r="AB28" i="5"/>
  <c r="G28" i="5"/>
  <c r="F28" i="5"/>
  <c r="D28" i="5"/>
  <c r="C28" i="5"/>
  <c r="N28" i="5" s="1"/>
  <c r="B28" i="5"/>
  <c r="A28" i="5"/>
  <c r="AF27" i="5"/>
  <c r="AE27" i="5"/>
  <c r="AD27" i="5"/>
  <c r="AC27" i="5"/>
  <c r="AB27" i="5"/>
  <c r="P27" i="5"/>
  <c r="G27" i="5"/>
  <c r="F27" i="5"/>
  <c r="D27" i="5"/>
  <c r="C27" i="5"/>
  <c r="O27" i="5" s="1"/>
  <c r="B27" i="5"/>
  <c r="A27" i="5"/>
  <c r="AF26" i="5"/>
  <c r="AE26" i="5"/>
  <c r="AD26" i="5"/>
  <c r="AC26" i="5"/>
  <c r="AB26" i="5"/>
  <c r="P26" i="5"/>
  <c r="O26" i="5"/>
  <c r="N26" i="5"/>
  <c r="M26" i="5"/>
  <c r="L26" i="5"/>
  <c r="G26" i="5"/>
  <c r="F26" i="5"/>
  <c r="D26" i="5"/>
  <c r="C26" i="5"/>
  <c r="K26" i="5" s="1"/>
  <c r="B26" i="5"/>
  <c r="A26" i="5"/>
  <c r="AF25" i="5"/>
  <c r="AE25" i="5"/>
  <c r="AD25" i="5"/>
  <c r="AC25" i="5"/>
  <c r="AB25" i="5"/>
  <c r="M25" i="5"/>
  <c r="L25" i="5"/>
  <c r="G25" i="5"/>
  <c r="F25" i="5"/>
  <c r="D25" i="5"/>
  <c r="C25" i="5"/>
  <c r="P25" i="5" s="1"/>
  <c r="B25" i="5"/>
  <c r="A25" i="5"/>
  <c r="AF24" i="5"/>
  <c r="AE24" i="5"/>
  <c r="AD24" i="5"/>
  <c r="AC24" i="5"/>
  <c r="AB24" i="5"/>
  <c r="P24" i="5"/>
  <c r="O24" i="5"/>
  <c r="N24" i="5"/>
  <c r="G24" i="5"/>
  <c r="F24" i="5"/>
  <c r="D24" i="5"/>
  <c r="C24" i="5"/>
  <c r="M24" i="5" s="1"/>
  <c r="B24" i="5"/>
  <c r="A24" i="5"/>
  <c r="AF23" i="5"/>
  <c r="AE23" i="5"/>
  <c r="AD23" i="5"/>
  <c r="AC23" i="5"/>
  <c r="AB23" i="5"/>
  <c r="O23" i="5"/>
  <c r="L23" i="5"/>
  <c r="G23" i="5"/>
  <c r="F23" i="5"/>
  <c r="D23" i="5"/>
  <c r="C23" i="5"/>
  <c r="B23" i="5"/>
  <c r="A23" i="5"/>
  <c r="AF22" i="5"/>
  <c r="AE22" i="5"/>
  <c r="AD22" i="5"/>
  <c r="AC22" i="5"/>
  <c r="AB22" i="5"/>
  <c r="G22" i="5"/>
  <c r="F22" i="5"/>
  <c r="D22" i="5"/>
  <c r="C22" i="5"/>
  <c r="L22" i="5" s="1"/>
  <c r="B22" i="5"/>
  <c r="A22" i="5"/>
  <c r="AF21" i="5"/>
  <c r="AE21" i="5"/>
  <c r="AD21" i="5"/>
  <c r="AC21" i="5"/>
  <c r="AB21" i="5"/>
  <c r="P21" i="5"/>
  <c r="O21" i="5"/>
  <c r="N21" i="5"/>
  <c r="M21" i="5"/>
  <c r="G21" i="5"/>
  <c r="F21" i="5"/>
  <c r="D21" i="5"/>
  <c r="C21" i="5"/>
  <c r="L21" i="5" s="1"/>
  <c r="B21" i="5"/>
  <c r="A21" i="5"/>
  <c r="AF20" i="5"/>
  <c r="AE20" i="5"/>
  <c r="AD20" i="5"/>
  <c r="AC20" i="5"/>
  <c r="AB20" i="5"/>
  <c r="M20" i="5"/>
  <c r="K20" i="5"/>
  <c r="G20" i="5"/>
  <c r="F20" i="5"/>
  <c r="D20" i="5"/>
  <c r="C20" i="5"/>
  <c r="B20" i="5"/>
  <c r="A20" i="5"/>
  <c r="AF19" i="5"/>
  <c r="AE19" i="5"/>
  <c r="AD19" i="5"/>
  <c r="AC19" i="5"/>
  <c r="AB19" i="5"/>
  <c r="O19" i="5"/>
  <c r="G19" i="5"/>
  <c r="F19" i="5"/>
  <c r="D19" i="5"/>
  <c r="C19" i="5"/>
  <c r="B19" i="5"/>
  <c r="A19" i="5"/>
  <c r="AF18" i="5"/>
  <c r="AE18" i="5"/>
  <c r="AD18" i="5"/>
  <c r="AC18" i="5"/>
  <c r="AB18" i="5"/>
  <c r="P18" i="5"/>
  <c r="O18" i="5"/>
  <c r="N18" i="5"/>
  <c r="M18" i="5"/>
  <c r="L18" i="5"/>
  <c r="G18" i="5"/>
  <c r="F18" i="5"/>
  <c r="D18" i="5"/>
  <c r="C18" i="5"/>
  <c r="K18" i="5" s="1"/>
  <c r="B18" i="5"/>
  <c r="A18" i="5"/>
  <c r="AF17" i="5"/>
  <c r="AE17" i="5"/>
  <c r="AD17" i="5"/>
  <c r="AC17" i="5"/>
  <c r="AB17" i="5"/>
  <c r="M17" i="5"/>
  <c r="L17" i="5"/>
  <c r="G17" i="5"/>
  <c r="F17" i="5"/>
  <c r="D17" i="5"/>
  <c r="C17" i="5"/>
  <c r="P17" i="5" s="1"/>
  <c r="B17" i="5"/>
  <c r="A17" i="5"/>
  <c r="AF16" i="5"/>
  <c r="AE16" i="5"/>
  <c r="AD16" i="5"/>
  <c r="AC16" i="5"/>
  <c r="AB16" i="5"/>
  <c r="P16" i="5"/>
  <c r="O16" i="5"/>
  <c r="N16" i="5"/>
  <c r="G16" i="5"/>
  <c r="F16" i="5"/>
  <c r="D16" i="5"/>
  <c r="C16" i="5"/>
  <c r="M16" i="5" s="1"/>
  <c r="B16" i="5"/>
  <c r="A16" i="5"/>
  <c r="AF15" i="5"/>
  <c r="AE15" i="5"/>
  <c r="AD15" i="5"/>
  <c r="AC15" i="5"/>
  <c r="AB15" i="5"/>
  <c r="G15" i="5"/>
  <c r="F15" i="5"/>
  <c r="D15" i="5"/>
  <c r="C15" i="5"/>
  <c r="K15" i="5" s="1"/>
  <c r="B15" i="5"/>
  <c r="A15" i="5"/>
  <c r="AF14" i="5"/>
  <c r="AE14" i="5"/>
  <c r="AD14" i="5"/>
  <c r="AC14" i="5"/>
  <c r="AB14" i="5"/>
  <c r="G14" i="5"/>
  <c r="F14" i="5"/>
  <c r="D14" i="5"/>
  <c r="C14" i="5"/>
  <c r="P14" i="5" s="1"/>
  <c r="B14" i="5"/>
  <c r="A14" i="5"/>
  <c r="AF13" i="5"/>
  <c r="AE13" i="5"/>
  <c r="AD13" i="5"/>
  <c r="AC13" i="5"/>
  <c r="AB13" i="5"/>
  <c r="P13" i="5"/>
  <c r="O13" i="5"/>
  <c r="N13" i="5"/>
  <c r="M13" i="5"/>
  <c r="G13" i="5"/>
  <c r="F13" i="5"/>
  <c r="D13" i="5"/>
  <c r="C13" i="5"/>
  <c r="L13" i="5" s="1"/>
  <c r="B13" i="5"/>
  <c r="A13" i="5"/>
  <c r="AF12" i="5"/>
  <c r="AE12" i="5"/>
  <c r="AD12" i="5"/>
  <c r="AC12" i="5"/>
  <c r="AB12" i="5"/>
  <c r="N12" i="5"/>
  <c r="K12" i="5"/>
  <c r="G12" i="5"/>
  <c r="F12" i="5"/>
  <c r="D12" i="5"/>
  <c r="C12" i="5"/>
  <c r="B12" i="5"/>
  <c r="A12" i="5"/>
  <c r="AF11" i="5"/>
  <c r="AE11" i="5"/>
  <c r="AD11" i="5"/>
  <c r="AC11" i="5"/>
  <c r="AB11" i="5"/>
  <c r="O11" i="5"/>
  <c r="K11" i="5"/>
  <c r="G11" i="5"/>
  <c r="F11" i="5"/>
  <c r="D11" i="5"/>
  <c r="C11" i="5"/>
  <c r="B11" i="5"/>
  <c r="A11" i="5"/>
  <c r="AF10" i="5"/>
  <c r="AE10" i="5"/>
  <c r="AD10" i="5"/>
  <c r="AC10" i="5"/>
  <c r="AB10" i="5"/>
  <c r="P10" i="5"/>
  <c r="O10" i="5"/>
  <c r="N10" i="5"/>
  <c r="M10" i="5"/>
  <c r="L10" i="5"/>
  <c r="G10" i="5"/>
  <c r="F10" i="5"/>
  <c r="D10" i="5"/>
  <c r="C10" i="5"/>
  <c r="K10" i="5" s="1"/>
  <c r="B10" i="5"/>
  <c r="A10" i="5"/>
  <c r="AF9" i="5"/>
  <c r="AE9" i="5"/>
  <c r="AD9" i="5"/>
  <c r="AC9" i="5"/>
  <c r="AB9" i="5"/>
  <c r="M9" i="5"/>
  <c r="L9" i="5"/>
  <c r="G9" i="5"/>
  <c r="F9" i="5"/>
  <c r="D9" i="5"/>
  <c r="C9" i="5"/>
  <c r="P9" i="5" s="1"/>
  <c r="B9" i="5"/>
  <c r="A9" i="5"/>
  <c r="AF8" i="5"/>
  <c r="AE8" i="5"/>
  <c r="AD8" i="5"/>
  <c r="AC8" i="5"/>
  <c r="AB8" i="5"/>
  <c r="P8" i="5"/>
  <c r="O8" i="5"/>
  <c r="N8" i="5"/>
  <c r="G8" i="5"/>
  <c r="F8" i="5"/>
  <c r="D8" i="5"/>
  <c r="C8" i="5"/>
  <c r="M8" i="5" s="1"/>
  <c r="B8" i="5"/>
  <c r="A8" i="5"/>
  <c r="AF7" i="5"/>
  <c r="AE7" i="5"/>
  <c r="AD7" i="5"/>
  <c r="AC7" i="5"/>
  <c r="AB7" i="5"/>
  <c r="O7" i="5"/>
  <c r="N7" i="5"/>
  <c r="L7" i="5"/>
  <c r="K7" i="5"/>
  <c r="G7" i="5"/>
  <c r="F7" i="5"/>
  <c r="D7" i="5"/>
  <c r="C7" i="5"/>
  <c r="B7" i="5"/>
  <c r="A7" i="5"/>
  <c r="AF6" i="5"/>
  <c r="AE6" i="5"/>
  <c r="AD6" i="5"/>
  <c r="AC6" i="5"/>
  <c r="AB6" i="5"/>
  <c r="G6" i="5"/>
  <c r="F6" i="5"/>
  <c r="D6" i="5"/>
  <c r="C6" i="5"/>
  <c r="B6" i="5"/>
  <c r="A6" i="5"/>
  <c r="AF5" i="5"/>
  <c r="AE5" i="5"/>
  <c r="AD5" i="5"/>
  <c r="AC5" i="5"/>
  <c r="AB5" i="5"/>
  <c r="G5" i="5"/>
  <c r="F5" i="5"/>
  <c r="E5" i="5"/>
  <c r="D5" i="5"/>
  <c r="C5" i="5"/>
  <c r="B5" i="5"/>
  <c r="A5" i="5"/>
  <c r="G4" i="5"/>
  <c r="F4" i="5"/>
  <c r="D4" i="5"/>
  <c r="C4" i="5"/>
  <c r="B4" i="5"/>
  <c r="A4" i="5"/>
  <c r="AF203" i="4"/>
  <c r="W203" i="5" s="1"/>
  <c r="AE203" i="4"/>
  <c r="V203" i="5" s="1"/>
  <c r="AA203" i="4"/>
  <c r="W203" i="4"/>
  <c r="U203" i="4"/>
  <c r="T203" i="4"/>
  <c r="Y203" i="4" s="1"/>
  <c r="R203" i="4"/>
  <c r="M203" i="4"/>
  <c r="L203" i="4"/>
  <c r="K203" i="4"/>
  <c r="E203" i="5" s="1"/>
  <c r="J203" i="4"/>
  <c r="I203" i="5" s="1"/>
  <c r="I203" i="4"/>
  <c r="H203" i="5" s="1"/>
  <c r="AA202" i="4"/>
  <c r="W202" i="4"/>
  <c r="U202" i="4"/>
  <c r="T202" i="4"/>
  <c r="Y202" i="4" s="1"/>
  <c r="R202" i="4"/>
  <c r="M202" i="4"/>
  <c r="L202" i="4"/>
  <c r="J202" i="4"/>
  <c r="I202" i="5" s="1"/>
  <c r="I202" i="4"/>
  <c r="H202" i="5" s="1"/>
  <c r="AA201" i="4"/>
  <c r="W201" i="4"/>
  <c r="U201" i="4"/>
  <c r="T201" i="4"/>
  <c r="Y201" i="4" s="1"/>
  <c r="R201" i="4"/>
  <c r="M201" i="4"/>
  <c r="L201" i="4"/>
  <c r="K201" i="4"/>
  <c r="E201" i="5" s="1"/>
  <c r="J201" i="4"/>
  <c r="I201" i="5" s="1"/>
  <c r="I201" i="4"/>
  <c r="H201" i="5" s="1"/>
  <c r="AA200" i="4"/>
  <c r="W200" i="4"/>
  <c r="U200" i="4"/>
  <c r="T200" i="4"/>
  <c r="Y200" i="4" s="1"/>
  <c r="R200" i="4"/>
  <c r="M200" i="4"/>
  <c r="L200" i="4"/>
  <c r="K200" i="4"/>
  <c r="E200" i="5" s="1"/>
  <c r="J200" i="4"/>
  <c r="I200" i="5" s="1"/>
  <c r="I200" i="4"/>
  <c r="H200" i="5" s="1"/>
  <c r="AA199" i="4"/>
  <c r="W199" i="4"/>
  <c r="U199" i="4"/>
  <c r="T199" i="4"/>
  <c r="Y199" i="4" s="1"/>
  <c r="R199" i="4"/>
  <c r="M199" i="4"/>
  <c r="L199" i="4"/>
  <c r="K199" i="4"/>
  <c r="E199" i="5" s="1"/>
  <c r="J199" i="4"/>
  <c r="I199" i="5" s="1"/>
  <c r="I199" i="4"/>
  <c r="H199" i="5" s="1"/>
  <c r="AA198" i="4"/>
  <c r="W198" i="4"/>
  <c r="U198" i="4"/>
  <c r="T198" i="4"/>
  <c r="Y198" i="4" s="1"/>
  <c r="R198" i="4"/>
  <c r="M198" i="4"/>
  <c r="L198" i="4"/>
  <c r="J198" i="4"/>
  <c r="I198" i="5" s="1"/>
  <c r="I198" i="4"/>
  <c r="H198" i="5" s="1"/>
  <c r="AE197" i="4"/>
  <c r="V197" i="5" s="1"/>
  <c r="AA197" i="4"/>
  <c r="W197" i="4"/>
  <c r="U197" i="4"/>
  <c r="T197" i="4"/>
  <c r="Y197" i="4" s="1"/>
  <c r="R197" i="4"/>
  <c r="M197" i="4"/>
  <c r="L197" i="4"/>
  <c r="K197" i="4"/>
  <c r="E197" i="5" s="1"/>
  <c r="J197" i="4"/>
  <c r="I197" i="5" s="1"/>
  <c r="I197" i="4"/>
  <c r="H197" i="5" s="1"/>
  <c r="AF196" i="4"/>
  <c r="W196" i="5" s="1"/>
  <c r="AE196" i="4"/>
  <c r="V196" i="5" s="1"/>
  <c r="AA196" i="4"/>
  <c r="W196" i="4"/>
  <c r="U196" i="4"/>
  <c r="T196" i="4"/>
  <c r="Y196" i="4" s="1"/>
  <c r="R196" i="4"/>
  <c r="M196" i="4"/>
  <c r="L196" i="4"/>
  <c r="K196" i="4"/>
  <c r="E196" i="5" s="1"/>
  <c r="J196" i="4"/>
  <c r="I196" i="5" s="1"/>
  <c r="I196" i="4"/>
  <c r="H196" i="5" s="1"/>
  <c r="AF195" i="4"/>
  <c r="W195" i="5" s="1"/>
  <c r="AA195" i="4"/>
  <c r="W195" i="4"/>
  <c r="U195" i="4"/>
  <c r="T195" i="4"/>
  <c r="Y195" i="4" s="1"/>
  <c r="R195" i="4"/>
  <c r="M195" i="4"/>
  <c r="L195" i="4"/>
  <c r="K195" i="4"/>
  <c r="E195" i="5" s="1"/>
  <c r="J195" i="4"/>
  <c r="I195" i="5" s="1"/>
  <c r="I195" i="4"/>
  <c r="H195" i="5" s="1"/>
  <c r="AA194" i="4"/>
  <c r="W194" i="4"/>
  <c r="U194" i="4"/>
  <c r="T194" i="4"/>
  <c r="Y194" i="4" s="1"/>
  <c r="R194" i="4"/>
  <c r="M194" i="4"/>
  <c r="L194" i="4"/>
  <c r="J194" i="4"/>
  <c r="I194" i="4"/>
  <c r="H194" i="5" s="1"/>
  <c r="AE193" i="4"/>
  <c r="V193" i="5" s="1"/>
  <c r="AA193" i="4"/>
  <c r="W193" i="4"/>
  <c r="U193" i="4"/>
  <c r="T193" i="4"/>
  <c r="Y193" i="4" s="1"/>
  <c r="R193" i="4"/>
  <c r="M193" i="4"/>
  <c r="L193" i="4"/>
  <c r="K193" i="4"/>
  <c r="E193" i="5" s="1"/>
  <c r="J193" i="4"/>
  <c r="I193" i="5" s="1"/>
  <c r="I193" i="4"/>
  <c r="H193" i="5" s="1"/>
  <c r="AF192" i="4"/>
  <c r="W192" i="5" s="1"/>
  <c r="AE192" i="4"/>
  <c r="V192" i="5" s="1"/>
  <c r="AA192" i="4"/>
  <c r="W192" i="4"/>
  <c r="U192" i="4"/>
  <c r="T192" i="4"/>
  <c r="Y192" i="4" s="1"/>
  <c r="R192" i="4"/>
  <c r="M192" i="4"/>
  <c r="L192" i="4"/>
  <c r="K192" i="4"/>
  <c r="E192" i="5" s="1"/>
  <c r="J192" i="4"/>
  <c r="I192" i="5" s="1"/>
  <c r="I192" i="4"/>
  <c r="H192" i="5" s="1"/>
  <c r="AA191" i="4"/>
  <c r="W191" i="4"/>
  <c r="U191" i="4"/>
  <c r="T191" i="4"/>
  <c r="Y191" i="4" s="1"/>
  <c r="R191" i="4"/>
  <c r="M191" i="4"/>
  <c r="L191" i="4"/>
  <c r="I191" i="4"/>
  <c r="AE190" i="4"/>
  <c r="V190" i="5" s="1"/>
  <c r="AA190" i="4"/>
  <c r="W190" i="4"/>
  <c r="U190" i="4"/>
  <c r="T190" i="4"/>
  <c r="Y190" i="4" s="1"/>
  <c r="R190" i="4"/>
  <c r="M190" i="4"/>
  <c r="L190" i="4"/>
  <c r="K190" i="4"/>
  <c r="E190" i="5" s="1"/>
  <c r="J190" i="4"/>
  <c r="I190" i="5" s="1"/>
  <c r="I190" i="4"/>
  <c r="AA189" i="4"/>
  <c r="W189" i="4"/>
  <c r="U189" i="4"/>
  <c r="T189" i="4"/>
  <c r="Y189" i="4" s="1"/>
  <c r="R189" i="4"/>
  <c r="M189" i="4"/>
  <c r="L189" i="4"/>
  <c r="J189" i="4"/>
  <c r="I189" i="4"/>
  <c r="AA188" i="4"/>
  <c r="W188" i="4"/>
  <c r="U188" i="4"/>
  <c r="T188" i="4"/>
  <c r="Y188" i="4" s="1"/>
  <c r="R188" i="4"/>
  <c r="M188" i="4"/>
  <c r="L188" i="4"/>
  <c r="I188" i="4"/>
  <c r="AA187" i="4"/>
  <c r="W187" i="4"/>
  <c r="U187" i="4"/>
  <c r="T187" i="4"/>
  <c r="Y187" i="4" s="1"/>
  <c r="R187" i="4"/>
  <c r="M187" i="4"/>
  <c r="L187" i="4"/>
  <c r="I187" i="4"/>
  <c r="AE186" i="4"/>
  <c r="V186" i="5" s="1"/>
  <c r="AA186" i="4"/>
  <c r="W186" i="4"/>
  <c r="U186" i="4"/>
  <c r="T186" i="4"/>
  <c r="Y186" i="4" s="1"/>
  <c r="R186" i="4"/>
  <c r="M186" i="4"/>
  <c r="L186" i="4"/>
  <c r="K186" i="4"/>
  <c r="E186" i="5" s="1"/>
  <c r="J186" i="4"/>
  <c r="I186" i="5" s="1"/>
  <c r="I186" i="4"/>
  <c r="AA185" i="4"/>
  <c r="W185" i="4"/>
  <c r="U185" i="4"/>
  <c r="T185" i="4"/>
  <c r="Y185" i="4" s="1"/>
  <c r="R185" i="4"/>
  <c r="M185" i="4"/>
  <c r="L185" i="4"/>
  <c r="J185" i="4"/>
  <c r="I185" i="4"/>
  <c r="AA184" i="4"/>
  <c r="W184" i="4"/>
  <c r="U184" i="4"/>
  <c r="T184" i="4"/>
  <c r="Y184" i="4" s="1"/>
  <c r="R184" i="4"/>
  <c r="M184" i="4"/>
  <c r="L184" i="4"/>
  <c r="I184" i="4"/>
  <c r="AA183" i="4"/>
  <c r="W183" i="4"/>
  <c r="U183" i="4"/>
  <c r="T183" i="4"/>
  <c r="Y183" i="4" s="1"/>
  <c r="R183" i="4"/>
  <c r="M183" i="4"/>
  <c r="L183" i="4"/>
  <c r="J183" i="4"/>
  <c r="I183" i="4"/>
  <c r="AE182" i="4"/>
  <c r="V182" i="5" s="1"/>
  <c r="AA182" i="4"/>
  <c r="W182" i="4"/>
  <c r="U182" i="4"/>
  <c r="T182" i="4"/>
  <c r="Y182" i="4" s="1"/>
  <c r="R182" i="4"/>
  <c r="M182" i="4"/>
  <c r="L182" i="4"/>
  <c r="K182" i="4"/>
  <c r="E182" i="5" s="1"/>
  <c r="J182" i="4"/>
  <c r="I182" i="5" s="1"/>
  <c r="I182" i="4"/>
  <c r="AA181" i="4"/>
  <c r="W181" i="4"/>
  <c r="U181" i="4"/>
  <c r="T181" i="4"/>
  <c r="Y181" i="4" s="1"/>
  <c r="R181" i="4"/>
  <c r="M181" i="4"/>
  <c r="L181" i="4"/>
  <c r="J181" i="4"/>
  <c r="I181" i="4"/>
  <c r="AA180" i="4"/>
  <c r="W180" i="4"/>
  <c r="U180" i="4"/>
  <c r="T180" i="4"/>
  <c r="Y180" i="4" s="1"/>
  <c r="R180" i="4"/>
  <c r="M180" i="4"/>
  <c r="L180" i="4"/>
  <c r="I180" i="4"/>
  <c r="AA179" i="4"/>
  <c r="W179" i="4"/>
  <c r="U179" i="4"/>
  <c r="T179" i="4"/>
  <c r="Y179" i="4" s="1"/>
  <c r="R179" i="4"/>
  <c r="M179" i="4"/>
  <c r="L179" i="4"/>
  <c r="I179" i="4"/>
  <c r="AE178" i="4"/>
  <c r="V178" i="5" s="1"/>
  <c r="AA178" i="4"/>
  <c r="W178" i="4"/>
  <c r="U178" i="4"/>
  <c r="T178" i="4"/>
  <c r="R178" i="4"/>
  <c r="M178" i="4"/>
  <c r="L178" i="4"/>
  <c r="K178" i="4"/>
  <c r="E178" i="5" s="1"/>
  <c r="J178" i="4"/>
  <c r="I178" i="5" s="1"/>
  <c r="I178" i="4"/>
  <c r="AE177" i="4"/>
  <c r="V177" i="5" s="1"/>
  <c r="AA177" i="4"/>
  <c r="W177" i="4"/>
  <c r="U177" i="4"/>
  <c r="T177" i="4"/>
  <c r="Y177" i="4" s="1"/>
  <c r="R177" i="4"/>
  <c r="M177" i="4"/>
  <c r="L177" i="4"/>
  <c r="K177" i="4"/>
  <c r="E177" i="5" s="1"/>
  <c r="J177" i="4"/>
  <c r="I177" i="4"/>
  <c r="AA176" i="4"/>
  <c r="W176" i="4"/>
  <c r="U176" i="4"/>
  <c r="T176" i="4"/>
  <c r="Y176" i="4" s="1"/>
  <c r="R176" i="4"/>
  <c r="M176" i="4"/>
  <c r="L176" i="4"/>
  <c r="I176" i="4"/>
  <c r="AA175" i="4"/>
  <c r="W175" i="4"/>
  <c r="U175" i="4"/>
  <c r="T175" i="4"/>
  <c r="R175" i="4"/>
  <c r="M175" i="4"/>
  <c r="L175" i="4"/>
  <c r="I175" i="4"/>
  <c r="AA174" i="4"/>
  <c r="W174" i="4"/>
  <c r="U174" i="4"/>
  <c r="T174" i="4"/>
  <c r="R174" i="4"/>
  <c r="M174" i="4"/>
  <c r="L174" i="4"/>
  <c r="I174" i="4"/>
  <c r="AA173" i="4"/>
  <c r="W173" i="4"/>
  <c r="U173" i="4"/>
  <c r="T173" i="4"/>
  <c r="Y173" i="4" s="1"/>
  <c r="R173" i="4"/>
  <c r="M173" i="4"/>
  <c r="L173" i="4"/>
  <c r="J173" i="4"/>
  <c r="I173" i="4"/>
  <c r="AA172" i="4"/>
  <c r="W172" i="4"/>
  <c r="U172" i="4"/>
  <c r="T172" i="4"/>
  <c r="Y172" i="4" s="1"/>
  <c r="R172" i="4"/>
  <c r="M172" i="4"/>
  <c r="L172" i="4"/>
  <c r="I172" i="4"/>
  <c r="AA171" i="4"/>
  <c r="W171" i="4"/>
  <c r="U171" i="4"/>
  <c r="T171" i="4"/>
  <c r="Y171" i="4" s="1"/>
  <c r="R171" i="4"/>
  <c r="M171" i="4"/>
  <c r="L171" i="4"/>
  <c r="J171" i="4"/>
  <c r="I171" i="4"/>
  <c r="AE170" i="4"/>
  <c r="V170" i="5" s="1"/>
  <c r="AA170" i="4"/>
  <c r="W170" i="4"/>
  <c r="U170" i="4"/>
  <c r="T170" i="4"/>
  <c r="R170" i="4"/>
  <c r="M170" i="4"/>
  <c r="L170" i="4"/>
  <c r="K170" i="4"/>
  <c r="E170" i="5" s="1"/>
  <c r="J170" i="4"/>
  <c r="I170" i="5" s="1"/>
  <c r="I170" i="4"/>
  <c r="AA169" i="4"/>
  <c r="W169" i="4"/>
  <c r="U169" i="4"/>
  <c r="T169" i="4"/>
  <c r="R169" i="4"/>
  <c r="M169" i="4"/>
  <c r="L169" i="4"/>
  <c r="J169" i="4"/>
  <c r="I169" i="4"/>
  <c r="AA168" i="4"/>
  <c r="W168" i="4"/>
  <c r="U168" i="4"/>
  <c r="T168" i="4"/>
  <c r="Y168" i="4" s="1"/>
  <c r="R168" i="4"/>
  <c r="M168" i="4"/>
  <c r="L168" i="4"/>
  <c r="I168" i="4"/>
  <c r="AA167" i="4"/>
  <c r="W167" i="4"/>
  <c r="U167" i="4"/>
  <c r="T167" i="4"/>
  <c r="R167" i="4"/>
  <c r="M167" i="4"/>
  <c r="L167" i="4"/>
  <c r="I167" i="4"/>
  <c r="AA166" i="4"/>
  <c r="W166" i="4"/>
  <c r="U166" i="4"/>
  <c r="T166" i="4"/>
  <c r="R166" i="4"/>
  <c r="M166" i="4"/>
  <c r="L166" i="4"/>
  <c r="I166" i="4"/>
  <c r="AA165" i="4"/>
  <c r="W165" i="4"/>
  <c r="U165" i="4"/>
  <c r="T165" i="4"/>
  <c r="R165" i="4"/>
  <c r="M165" i="4"/>
  <c r="L165" i="4"/>
  <c r="I165" i="4"/>
  <c r="AA164" i="4"/>
  <c r="W164" i="4"/>
  <c r="U164" i="4"/>
  <c r="T164" i="4"/>
  <c r="Y164" i="4" s="1"/>
  <c r="R164" i="4"/>
  <c r="M164" i="4"/>
  <c r="L164" i="4"/>
  <c r="I164" i="4"/>
  <c r="AA163" i="4"/>
  <c r="W163" i="4"/>
  <c r="U163" i="4"/>
  <c r="T163" i="4"/>
  <c r="Y163" i="4" s="1"/>
  <c r="R163" i="4"/>
  <c r="M163" i="4"/>
  <c r="L163" i="4"/>
  <c r="I163" i="4"/>
  <c r="AE162" i="4"/>
  <c r="V162" i="5" s="1"/>
  <c r="AA162" i="4"/>
  <c r="W162" i="4"/>
  <c r="U162" i="4"/>
  <c r="T162" i="4"/>
  <c r="Y162" i="4" s="1"/>
  <c r="R162" i="4"/>
  <c r="M162" i="4"/>
  <c r="L162" i="4"/>
  <c r="K162" i="4"/>
  <c r="E162" i="5" s="1"/>
  <c r="J162" i="4"/>
  <c r="I162" i="4"/>
  <c r="AE161" i="4"/>
  <c r="V161" i="5" s="1"/>
  <c r="AA161" i="4"/>
  <c r="W161" i="4"/>
  <c r="U161" i="4"/>
  <c r="T161" i="4"/>
  <c r="Y161" i="4" s="1"/>
  <c r="R161" i="4"/>
  <c r="M161" i="4"/>
  <c r="L161" i="4"/>
  <c r="J161" i="4"/>
  <c r="I161" i="4"/>
  <c r="AA160" i="4"/>
  <c r="W160" i="4"/>
  <c r="U160" i="4"/>
  <c r="T160" i="4"/>
  <c r="Y160" i="4" s="1"/>
  <c r="R160" i="4"/>
  <c r="M160" i="4"/>
  <c r="L160" i="4"/>
  <c r="J160" i="4"/>
  <c r="I160" i="4"/>
  <c r="AA159" i="4"/>
  <c r="W159" i="4"/>
  <c r="U159" i="4"/>
  <c r="T159" i="4"/>
  <c r="R159" i="4"/>
  <c r="M159" i="4"/>
  <c r="L159" i="4"/>
  <c r="I159" i="4"/>
  <c r="AA158" i="4"/>
  <c r="W158" i="4"/>
  <c r="U158" i="4"/>
  <c r="T158" i="4"/>
  <c r="R158" i="4"/>
  <c r="M158" i="4"/>
  <c r="L158" i="4"/>
  <c r="I158" i="4"/>
  <c r="AA157" i="4"/>
  <c r="W157" i="4"/>
  <c r="U157" i="4"/>
  <c r="T157" i="4"/>
  <c r="Y157" i="4" s="1"/>
  <c r="R157" i="4"/>
  <c r="M157" i="4"/>
  <c r="L157" i="4"/>
  <c r="I157" i="4"/>
  <c r="AA156" i="4"/>
  <c r="W156" i="4"/>
  <c r="U156" i="4"/>
  <c r="T156" i="4"/>
  <c r="Y156" i="4" s="1"/>
  <c r="R156" i="4"/>
  <c r="M156" i="4"/>
  <c r="L156" i="4"/>
  <c r="I156" i="4"/>
  <c r="AA155" i="4"/>
  <c r="W155" i="4"/>
  <c r="U155" i="4"/>
  <c r="T155" i="4"/>
  <c r="Y155" i="4" s="1"/>
  <c r="R155" i="4"/>
  <c r="M155" i="4"/>
  <c r="L155" i="4"/>
  <c r="J155" i="4"/>
  <c r="I155" i="4"/>
  <c r="AA154" i="4"/>
  <c r="W154" i="4"/>
  <c r="U154" i="4"/>
  <c r="T154" i="4"/>
  <c r="R154" i="4"/>
  <c r="M154" i="4"/>
  <c r="L154" i="4"/>
  <c r="J154" i="4"/>
  <c r="I154" i="4"/>
  <c r="AA153" i="4"/>
  <c r="W153" i="4"/>
  <c r="U153" i="4"/>
  <c r="T153" i="4"/>
  <c r="Y153" i="4" s="1"/>
  <c r="R153" i="4"/>
  <c r="M153" i="4"/>
  <c r="L153" i="4"/>
  <c r="J153" i="4"/>
  <c r="I153" i="4"/>
  <c r="AF152" i="4"/>
  <c r="W152" i="5" s="1"/>
  <c r="AA152" i="4"/>
  <c r="W152" i="4"/>
  <c r="U152" i="4"/>
  <c r="T152" i="4"/>
  <c r="Y152" i="4" s="1"/>
  <c r="R152" i="4"/>
  <c r="M152" i="4"/>
  <c r="L152" i="4"/>
  <c r="K152" i="4"/>
  <c r="E152" i="5" s="1"/>
  <c r="J152" i="4"/>
  <c r="I152" i="4"/>
  <c r="AA151" i="4"/>
  <c r="W151" i="4"/>
  <c r="U151" i="4"/>
  <c r="T151" i="4"/>
  <c r="R151" i="4"/>
  <c r="M151" i="4"/>
  <c r="L151" i="4"/>
  <c r="I151" i="4"/>
  <c r="AA150" i="4"/>
  <c r="W150" i="4"/>
  <c r="U150" i="4"/>
  <c r="T150" i="4"/>
  <c r="R150" i="4"/>
  <c r="M150" i="4"/>
  <c r="L150" i="4"/>
  <c r="J150" i="4"/>
  <c r="I150" i="4"/>
  <c r="AA149" i="4"/>
  <c r="W149" i="4"/>
  <c r="U149" i="4"/>
  <c r="T149" i="4"/>
  <c r="R149" i="4"/>
  <c r="M149" i="4"/>
  <c r="L149" i="4"/>
  <c r="I149" i="4"/>
  <c r="AA148" i="4"/>
  <c r="W148" i="4"/>
  <c r="U148" i="4"/>
  <c r="T148" i="4"/>
  <c r="R148" i="4"/>
  <c r="N148" i="4"/>
  <c r="M148" i="4"/>
  <c r="L148" i="4"/>
  <c r="I148" i="4"/>
  <c r="AA147" i="4"/>
  <c r="W147" i="4"/>
  <c r="U147" i="4"/>
  <c r="T147" i="4"/>
  <c r="R147" i="4"/>
  <c r="N147" i="4"/>
  <c r="M147" i="4"/>
  <c r="L147" i="4"/>
  <c r="I147" i="4"/>
  <c r="AA146" i="4"/>
  <c r="Z146" i="4"/>
  <c r="T146" i="5" s="1"/>
  <c r="W146" i="4"/>
  <c r="U146" i="4"/>
  <c r="T146" i="4"/>
  <c r="Y146" i="4" s="1"/>
  <c r="R146" i="4"/>
  <c r="N146" i="4"/>
  <c r="M146" i="4"/>
  <c r="L146" i="4"/>
  <c r="I146" i="4"/>
  <c r="AA145" i="4"/>
  <c r="W145" i="4"/>
  <c r="U145" i="4"/>
  <c r="T145" i="4"/>
  <c r="Y145" i="4" s="1"/>
  <c r="R145" i="4"/>
  <c r="M145" i="4"/>
  <c r="L145" i="4"/>
  <c r="J145" i="4"/>
  <c r="I145" i="4"/>
  <c r="AF144" i="4"/>
  <c r="W144" i="5" s="1"/>
  <c r="AA144" i="4"/>
  <c r="W144" i="4"/>
  <c r="U144" i="4"/>
  <c r="T144" i="4"/>
  <c r="Y144" i="4" s="1"/>
  <c r="R144" i="4"/>
  <c r="N144" i="4"/>
  <c r="M144" i="4"/>
  <c r="L144" i="4"/>
  <c r="K144" i="4"/>
  <c r="E144" i="5" s="1"/>
  <c r="J144" i="4"/>
  <c r="I144" i="4"/>
  <c r="AF143" i="4"/>
  <c r="W143" i="5" s="1"/>
  <c r="AA143" i="4"/>
  <c r="W143" i="4"/>
  <c r="U143" i="4"/>
  <c r="T143" i="4"/>
  <c r="R143" i="4"/>
  <c r="M143" i="4"/>
  <c r="N143" i="4" s="1"/>
  <c r="L143" i="4"/>
  <c r="K143" i="4"/>
  <c r="E143" i="5" s="1"/>
  <c r="J143" i="4"/>
  <c r="I143" i="4"/>
  <c r="AA142" i="4"/>
  <c r="W142" i="4"/>
  <c r="U142" i="4"/>
  <c r="T142" i="4"/>
  <c r="R142" i="4"/>
  <c r="M142" i="4"/>
  <c r="L142" i="4"/>
  <c r="I142" i="4"/>
  <c r="AA141" i="4"/>
  <c r="W141" i="4"/>
  <c r="U141" i="4"/>
  <c r="T141" i="4"/>
  <c r="R141" i="4"/>
  <c r="M141" i="4"/>
  <c r="L141" i="4"/>
  <c r="I141" i="4"/>
  <c r="AA140" i="4"/>
  <c r="W140" i="4"/>
  <c r="U140" i="4"/>
  <c r="T140" i="4"/>
  <c r="R140" i="4"/>
  <c r="M140" i="4"/>
  <c r="L140" i="4"/>
  <c r="J140" i="4"/>
  <c r="I140" i="4"/>
  <c r="AA139" i="4"/>
  <c r="W139" i="4"/>
  <c r="U139" i="4"/>
  <c r="T139" i="4"/>
  <c r="R139" i="4"/>
  <c r="N139" i="4"/>
  <c r="M139" i="4"/>
  <c r="L139" i="4"/>
  <c r="I139" i="4"/>
  <c r="AA138" i="4"/>
  <c r="W138" i="4"/>
  <c r="U138" i="4"/>
  <c r="T138" i="4"/>
  <c r="R138" i="4"/>
  <c r="M138" i="4"/>
  <c r="N138" i="4" s="1"/>
  <c r="L138" i="4"/>
  <c r="I138" i="4"/>
  <c r="AA137" i="4"/>
  <c r="W137" i="4"/>
  <c r="U137" i="4"/>
  <c r="T137" i="4"/>
  <c r="R137" i="4"/>
  <c r="M137" i="4"/>
  <c r="L137" i="4"/>
  <c r="I137" i="4"/>
  <c r="AA136" i="4"/>
  <c r="W136" i="4"/>
  <c r="U136" i="4"/>
  <c r="T136" i="4"/>
  <c r="Y136" i="4" s="1"/>
  <c r="S136" i="4"/>
  <c r="R136" i="4"/>
  <c r="M136" i="4"/>
  <c r="N136" i="4" s="1"/>
  <c r="L136" i="4"/>
  <c r="J136" i="4"/>
  <c r="I136" i="4"/>
  <c r="AF135" i="4"/>
  <c r="W135" i="5" s="1"/>
  <c r="AA135" i="4"/>
  <c r="W135" i="4"/>
  <c r="U135" i="4"/>
  <c r="T135" i="4"/>
  <c r="R135" i="4"/>
  <c r="M135" i="4"/>
  <c r="L135" i="4"/>
  <c r="K135" i="4"/>
  <c r="E135" i="5" s="1"/>
  <c r="J135" i="4"/>
  <c r="I135" i="4"/>
  <c r="N135" i="4" s="1"/>
  <c r="AF134" i="4"/>
  <c r="W134" i="5" s="1"/>
  <c r="AE134" i="4"/>
  <c r="V134" i="5" s="1"/>
  <c r="AA134" i="4"/>
  <c r="W134" i="4"/>
  <c r="U134" i="4"/>
  <c r="T134" i="4"/>
  <c r="R134" i="4"/>
  <c r="M134" i="4"/>
  <c r="L134" i="4"/>
  <c r="J134" i="4"/>
  <c r="I134" i="4"/>
  <c r="AA133" i="4"/>
  <c r="W133" i="4"/>
  <c r="U133" i="4"/>
  <c r="T133" i="4"/>
  <c r="R133" i="4"/>
  <c r="N133" i="4"/>
  <c r="M133" i="4"/>
  <c r="L133" i="4"/>
  <c r="I133" i="4"/>
  <c r="AE132" i="4"/>
  <c r="V132" i="5" s="1"/>
  <c r="AA132" i="4"/>
  <c r="W132" i="4"/>
  <c r="U132" i="4"/>
  <c r="T132" i="4"/>
  <c r="Y132" i="4" s="1"/>
  <c r="R132" i="4"/>
  <c r="M132" i="4"/>
  <c r="L132" i="4"/>
  <c r="J132" i="4"/>
  <c r="I132" i="4"/>
  <c r="AA131" i="4"/>
  <c r="W131" i="4"/>
  <c r="U131" i="4"/>
  <c r="T131" i="4"/>
  <c r="R131" i="4"/>
  <c r="M131" i="4"/>
  <c r="L131" i="4"/>
  <c r="I131" i="4"/>
  <c r="AA130" i="4"/>
  <c r="W130" i="4"/>
  <c r="U130" i="4"/>
  <c r="T130" i="4"/>
  <c r="R130" i="4"/>
  <c r="M130" i="4"/>
  <c r="L130" i="4"/>
  <c r="I130" i="4"/>
  <c r="AA129" i="4"/>
  <c r="W129" i="4"/>
  <c r="U129" i="4"/>
  <c r="T129" i="4"/>
  <c r="R129" i="4"/>
  <c r="M129" i="4"/>
  <c r="N129" i="4" s="1"/>
  <c r="L129" i="4"/>
  <c r="J129" i="4"/>
  <c r="I129" i="4"/>
  <c r="AA128" i="4"/>
  <c r="W128" i="4"/>
  <c r="U128" i="4"/>
  <c r="T128" i="4"/>
  <c r="S128" i="4"/>
  <c r="R128" i="4"/>
  <c r="M128" i="4"/>
  <c r="N128" i="4" s="1"/>
  <c r="L128" i="4"/>
  <c r="J128" i="4"/>
  <c r="I128" i="4"/>
  <c r="AA127" i="4"/>
  <c r="W127" i="4"/>
  <c r="U127" i="4"/>
  <c r="T127" i="4"/>
  <c r="S127" i="4"/>
  <c r="R127" i="4"/>
  <c r="M127" i="4"/>
  <c r="L127" i="4"/>
  <c r="J127" i="4"/>
  <c r="I127" i="4"/>
  <c r="N127" i="4" s="1"/>
  <c r="AA126" i="4"/>
  <c r="W126" i="4"/>
  <c r="U126" i="4"/>
  <c r="T126" i="4"/>
  <c r="R126" i="4"/>
  <c r="M126" i="4"/>
  <c r="L126" i="4"/>
  <c r="J126" i="4"/>
  <c r="I126" i="4"/>
  <c r="AA125" i="4"/>
  <c r="W125" i="4"/>
  <c r="U125" i="4"/>
  <c r="T125" i="4"/>
  <c r="R125" i="4"/>
  <c r="M125" i="4"/>
  <c r="L125" i="4"/>
  <c r="I125" i="4"/>
  <c r="AA124" i="4"/>
  <c r="W124" i="4"/>
  <c r="U124" i="4"/>
  <c r="T124" i="4"/>
  <c r="R124" i="4"/>
  <c r="N124" i="4"/>
  <c r="M124" i="4"/>
  <c r="L124" i="4"/>
  <c r="I124" i="4"/>
  <c r="AA123" i="4"/>
  <c r="W123" i="4"/>
  <c r="U123" i="4"/>
  <c r="T123" i="4"/>
  <c r="Y123" i="4" s="1"/>
  <c r="R123" i="4"/>
  <c r="M123" i="4"/>
  <c r="L123" i="4"/>
  <c r="I123" i="4"/>
  <c r="AA122" i="4"/>
  <c r="W122" i="4"/>
  <c r="U122" i="4"/>
  <c r="T122" i="4"/>
  <c r="Y122" i="4" s="1"/>
  <c r="R122" i="4"/>
  <c r="M122" i="4"/>
  <c r="L122" i="4"/>
  <c r="I122" i="4"/>
  <c r="AE121" i="4"/>
  <c r="V121" i="5" s="1"/>
  <c r="AA121" i="4"/>
  <c r="W121" i="4"/>
  <c r="U121" i="4"/>
  <c r="T121" i="4"/>
  <c r="Y121" i="4" s="1"/>
  <c r="R121" i="4"/>
  <c r="N121" i="4"/>
  <c r="M121" i="4"/>
  <c r="L121" i="4"/>
  <c r="K121" i="4"/>
  <c r="E121" i="5" s="1"/>
  <c r="J121" i="4"/>
  <c r="I121" i="4"/>
  <c r="AF120" i="4"/>
  <c r="W120" i="5" s="1"/>
  <c r="AB120" i="4"/>
  <c r="U120" i="5" s="1"/>
  <c r="AA120" i="4"/>
  <c r="W120" i="4"/>
  <c r="U120" i="4"/>
  <c r="T120" i="4"/>
  <c r="R120" i="4"/>
  <c r="N120" i="4"/>
  <c r="M120" i="4"/>
  <c r="L120" i="4"/>
  <c r="K120" i="4"/>
  <c r="E120" i="5" s="1"/>
  <c r="J120" i="4"/>
  <c r="I120" i="4"/>
  <c r="AA119" i="4"/>
  <c r="W119" i="4"/>
  <c r="U119" i="4"/>
  <c r="T119" i="4"/>
  <c r="Y119" i="4" s="1"/>
  <c r="R119" i="4"/>
  <c r="M119" i="4"/>
  <c r="L119" i="4"/>
  <c r="J119" i="4"/>
  <c r="I119" i="4"/>
  <c r="N119" i="4" s="1"/>
  <c r="AE118" i="4"/>
  <c r="V118" i="5" s="1"/>
  <c r="AA118" i="4"/>
  <c r="W118" i="4"/>
  <c r="U118" i="4"/>
  <c r="T118" i="4"/>
  <c r="R118" i="4"/>
  <c r="M118" i="4"/>
  <c r="L118" i="4"/>
  <c r="J118" i="4"/>
  <c r="I118" i="4"/>
  <c r="AA117" i="4"/>
  <c r="W117" i="4"/>
  <c r="U117" i="4"/>
  <c r="T117" i="4"/>
  <c r="R117" i="4"/>
  <c r="M117" i="4"/>
  <c r="L117" i="4"/>
  <c r="J117" i="4"/>
  <c r="I117" i="4"/>
  <c r="AA116" i="4"/>
  <c r="W116" i="4"/>
  <c r="U116" i="4"/>
  <c r="T116" i="4"/>
  <c r="Y116" i="4" s="1"/>
  <c r="R116" i="4"/>
  <c r="M116" i="4"/>
  <c r="L116" i="4"/>
  <c r="I116" i="4"/>
  <c r="AA115" i="4"/>
  <c r="W115" i="4"/>
  <c r="U115" i="4"/>
  <c r="T115" i="4"/>
  <c r="R115" i="4"/>
  <c r="N115" i="4"/>
  <c r="M115" i="4"/>
  <c r="L115" i="4"/>
  <c r="I115" i="4"/>
  <c r="AA114" i="4"/>
  <c r="W114" i="4"/>
  <c r="U114" i="4"/>
  <c r="T114" i="4"/>
  <c r="Y114" i="4" s="1"/>
  <c r="R114" i="4"/>
  <c r="M114" i="4"/>
  <c r="L114" i="4"/>
  <c r="I114" i="4"/>
  <c r="AB113" i="4"/>
  <c r="U113" i="5" s="1"/>
  <c r="AA113" i="4"/>
  <c r="W113" i="4"/>
  <c r="U113" i="4"/>
  <c r="T113" i="4"/>
  <c r="R113" i="4"/>
  <c r="N113" i="4"/>
  <c r="M113" i="4"/>
  <c r="L113" i="4"/>
  <c r="I113" i="4"/>
  <c r="AF112" i="4"/>
  <c r="W112" i="5" s="1"/>
  <c r="AA112" i="4"/>
  <c r="W112" i="4"/>
  <c r="U112" i="4"/>
  <c r="T112" i="4"/>
  <c r="R112" i="4"/>
  <c r="N112" i="4"/>
  <c r="M112" i="4"/>
  <c r="L112" i="4"/>
  <c r="J112" i="4"/>
  <c r="I112" i="4"/>
  <c r="AF111" i="4"/>
  <c r="W111" i="5" s="1"/>
  <c r="AA111" i="4"/>
  <c r="W111" i="4"/>
  <c r="U111" i="4"/>
  <c r="T111" i="4"/>
  <c r="R111" i="4"/>
  <c r="M111" i="4"/>
  <c r="N111" i="4" s="1"/>
  <c r="L111" i="4"/>
  <c r="K111" i="4"/>
  <c r="E111" i="5" s="1"/>
  <c r="J111" i="4"/>
  <c r="I111" i="4"/>
  <c r="AA110" i="4"/>
  <c r="W110" i="4"/>
  <c r="U110" i="4"/>
  <c r="T110" i="4"/>
  <c r="R110" i="4"/>
  <c r="M110" i="4"/>
  <c r="L110" i="4"/>
  <c r="I110" i="4"/>
  <c r="AA109" i="4"/>
  <c r="W109" i="4"/>
  <c r="U109" i="4"/>
  <c r="T109" i="4"/>
  <c r="R109" i="4"/>
  <c r="M109" i="4"/>
  <c r="L109" i="4"/>
  <c r="I109" i="4"/>
  <c r="AA108" i="4"/>
  <c r="W108" i="4"/>
  <c r="U108" i="4"/>
  <c r="T108" i="4"/>
  <c r="Y108" i="4" s="1"/>
  <c r="R108" i="4"/>
  <c r="M108" i="4"/>
  <c r="L108" i="4"/>
  <c r="J108" i="4"/>
  <c r="I108" i="4"/>
  <c r="AA107" i="4"/>
  <c r="W107" i="4"/>
  <c r="U107" i="4"/>
  <c r="T107" i="4"/>
  <c r="R107" i="4"/>
  <c r="M107" i="4"/>
  <c r="L107" i="4"/>
  <c r="I107" i="4"/>
  <c r="AA106" i="4"/>
  <c r="W106" i="4"/>
  <c r="U106" i="4"/>
  <c r="T106" i="4"/>
  <c r="R106" i="4"/>
  <c r="M106" i="4"/>
  <c r="L106" i="4"/>
  <c r="I106" i="4"/>
  <c r="AE105" i="4"/>
  <c r="V105" i="5" s="1"/>
  <c r="AA105" i="4"/>
  <c r="W105" i="4"/>
  <c r="U105" i="4"/>
  <c r="T105" i="4"/>
  <c r="S105" i="4"/>
  <c r="R105" i="4"/>
  <c r="M105" i="4"/>
  <c r="L105" i="4"/>
  <c r="J105" i="4"/>
  <c r="I105" i="4"/>
  <c r="N105" i="4" s="1"/>
  <c r="AA104" i="4"/>
  <c r="Y104" i="4"/>
  <c r="W104" i="4"/>
  <c r="U104" i="4"/>
  <c r="T104" i="4"/>
  <c r="R104" i="4"/>
  <c r="M104" i="4"/>
  <c r="L104" i="4"/>
  <c r="I104" i="4"/>
  <c r="AA103" i="4"/>
  <c r="Y103" i="4"/>
  <c r="W103" i="4"/>
  <c r="U103" i="4"/>
  <c r="T103" i="4"/>
  <c r="R103" i="4"/>
  <c r="N103" i="4"/>
  <c r="M103" i="4"/>
  <c r="L103" i="4"/>
  <c r="I103" i="4"/>
  <c r="AA102" i="4"/>
  <c r="W102" i="4"/>
  <c r="Y102" i="4" s="1"/>
  <c r="Z102" i="4" s="1"/>
  <c r="T102" i="5" s="1"/>
  <c r="U102" i="4"/>
  <c r="T102" i="4"/>
  <c r="R102" i="4"/>
  <c r="N102" i="4"/>
  <c r="M102" i="4"/>
  <c r="L102" i="4"/>
  <c r="I102" i="4"/>
  <c r="AA101" i="4"/>
  <c r="Y101" i="4"/>
  <c r="W101" i="4"/>
  <c r="U101" i="4"/>
  <c r="T101" i="4"/>
  <c r="R101" i="4"/>
  <c r="M101" i="4"/>
  <c r="L101" i="4"/>
  <c r="I101" i="4"/>
  <c r="AA100" i="4"/>
  <c r="Z100" i="4"/>
  <c r="T100" i="5" s="1"/>
  <c r="Y100" i="4"/>
  <c r="W100" i="4"/>
  <c r="U100" i="4"/>
  <c r="T100" i="4"/>
  <c r="R100" i="4"/>
  <c r="P100" i="4"/>
  <c r="O100" i="4"/>
  <c r="N100" i="4"/>
  <c r="M100" i="4"/>
  <c r="L100" i="4"/>
  <c r="I100" i="4"/>
  <c r="AA99" i="4"/>
  <c r="W99" i="4"/>
  <c r="Y99" i="4" s="1"/>
  <c r="U99" i="4"/>
  <c r="T99" i="4"/>
  <c r="R99" i="4"/>
  <c r="M99" i="4"/>
  <c r="L99" i="4"/>
  <c r="I99" i="4"/>
  <c r="AA98" i="4"/>
  <c r="Y98" i="4"/>
  <c r="W98" i="4"/>
  <c r="U98" i="4"/>
  <c r="T98" i="4"/>
  <c r="R98" i="4"/>
  <c r="M98" i="4"/>
  <c r="L98" i="4"/>
  <c r="I98" i="4"/>
  <c r="N98" i="4" s="1"/>
  <c r="AA97" i="4"/>
  <c r="W97" i="4"/>
  <c r="Y97" i="4" s="1"/>
  <c r="U97" i="4"/>
  <c r="T97" i="4"/>
  <c r="R97" i="4"/>
  <c r="M97" i="4"/>
  <c r="L97" i="4"/>
  <c r="I97" i="4"/>
  <c r="AA96" i="4"/>
  <c r="W96" i="4"/>
  <c r="Y96" i="4" s="1"/>
  <c r="U96" i="4"/>
  <c r="T96" i="4"/>
  <c r="R96" i="4"/>
  <c r="M96" i="4"/>
  <c r="L96" i="4"/>
  <c r="I96" i="4"/>
  <c r="AA95" i="4"/>
  <c r="W95" i="4"/>
  <c r="Y95" i="4" s="1"/>
  <c r="U95" i="4"/>
  <c r="T95" i="4"/>
  <c r="R95" i="4"/>
  <c r="N95" i="4"/>
  <c r="M95" i="4"/>
  <c r="L95" i="4"/>
  <c r="I95" i="4"/>
  <c r="AA94" i="4"/>
  <c r="W94" i="4"/>
  <c r="Y94" i="4" s="1"/>
  <c r="Z94" i="4" s="1"/>
  <c r="T94" i="5" s="1"/>
  <c r="U94" i="4"/>
  <c r="T94" i="4"/>
  <c r="R94" i="4"/>
  <c r="O94" i="4"/>
  <c r="N94" i="4"/>
  <c r="M94" i="4"/>
  <c r="L94" i="4"/>
  <c r="I94" i="4"/>
  <c r="AA93" i="4"/>
  <c r="Y93" i="4"/>
  <c r="W93" i="4"/>
  <c r="U93" i="4"/>
  <c r="T93" i="4"/>
  <c r="R93" i="4"/>
  <c r="N93" i="4"/>
  <c r="Z93" i="4" s="1"/>
  <c r="T93" i="5" s="1"/>
  <c r="M93" i="4"/>
  <c r="L93" i="4"/>
  <c r="I93" i="4"/>
  <c r="AA92" i="4"/>
  <c r="Z92" i="4"/>
  <c r="T92" i="5" s="1"/>
  <c r="Y92" i="4"/>
  <c r="W92" i="4"/>
  <c r="U92" i="4"/>
  <c r="T92" i="4"/>
  <c r="R92" i="4"/>
  <c r="O92" i="4"/>
  <c r="P92" i="4" s="1"/>
  <c r="N92" i="4"/>
  <c r="M92" i="4"/>
  <c r="L92" i="4"/>
  <c r="I92" i="4"/>
  <c r="AA91" i="4"/>
  <c r="W91" i="4"/>
  <c r="Y91" i="4" s="1"/>
  <c r="U91" i="4"/>
  <c r="T91" i="4"/>
  <c r="R91" i="4"/>
  <c r="M91" i="4"/>
  <c r="L91" i="4"/>
  <c r="I91" i="4"/>
  <c r="AA90" i="4"/>
  <c r="Y90" i="4"/>
  <c r="W90" i="4"/>
  <c r="U90" i="4"/>
  <c r="T90" i="4"/>
  <c r="R90" i="4"/>
  <c r="N90" i="4"/>
  <c r="M90" i="4"/>
  <c r="L90" i="4"/>
  <c r="I90" i="4"/>
  <c r="AA89" i="4"/>
  <c r="W89" i="4"/>
  <c r="U89" i="4"/>
  <c r="T89" i="4"/>
  <c r="Y89" i="4" s="1"/>
  <c r="R89" i="4"/>
  <c r="M89" i="4"/>
  <c r="L89" i="4"/>
  <c r="I89" i="4"/>
  <c r="AA88" i="4"/>
  <c r="W88" i="4"/>
  <c r="Y88" i="4" s="1"/>
  <c r="U88" i="4"/>
  <c r="T88" i="4"/>
  <c r="R88" i="4"/>
  <c r="N88" i="4"/>
  <c r="M88" i="4"/>
  <c r="L88" i="4"/>
  <c r="I88" i="4"/>
  <c r="AA87" i="4"/>
  <c r="Z87" i="4"/>
  <c r="T87" i="5" s="1"/>
  <c r="Y87" i="4"/>
  <c r="W87" i="4"/>
  <c r="U87" i="4"/>
  <c r="T87" i="4"/>
  <c r="R87" i="4"/>
  <c r="N87" i="4"/>
  <c r="M87" i="4"/>
  <c r="L87" i="4"/>
  <c r="I87" i="4"/>
  <c r="AA86" i="4"/>
  <c r="W86" i="4"/>
  <c r="U86" i="4"/>
  <c r="T86" i="4"/>
  <c r="R86" i="4"/>
  <c r="M86" i="4"/>
  <c r="L86" i="4"/>
  <c r="I86" i="4"/>
  <c r="AA85" i="4"/>
  <c r="W85" i="4"/>
  <c r="U85" i="4"/>
  <c r="T85" i="4"/>
  <c r="Y85" i="4" s="1"/>
  <c r="R85" i="4"/>
  <c r="M85" i="4"/>
  <c r="L85" i="4"/>
  <c r="I85" i="4"/>
  <c r="AA84" i="4"/>
  <c r="Y84" i="4"/>
  <c r="W84" i="4"/>
  <c r="U84" i="4"/>
  <c r="T84" i="4"/>
  <c r="R84" i="4"/>
  <c r="N84" i="4"/>
  <c r="M84" i="4"/>
  <c r="L84" i="4"/>
  <c r="I84" i="4"/>
  <c r="AA83" i="4"/>
  <c r="W83" i="4"/>
  <c r="U83" i="4"/>
  <c r="T83" i="4"/>
  <c r="Y83" i="4" s="1"/>
  <c r="R83" i="4"/>
  <c r="M83" i="4"/>
  <c r="L83" i="4"/>
  <c r="I83" i="4"/>
  <c r="AA82" i="4"/>
  <c r="W82" i="4"/>
  <c r="U82" i="4"/>
  <c r="T82" i="4"/>
  <c r="Y82" i="4" s="1"/>
  <c r="R82" i="4"/>
  <c r="M82" i="4"/>
  <c r="L82" i="4"/>
  <c r="I82" i="4"/>
  <c r="AA81" i="4"/>
  <c r="W81" i="4"/>
  <c r="U81" i="4"/>
  <c r="T81" i="4"/>
  <c r="Y81" i="4" s="1"/>
  <c r="R81" i="4"/>
  <c r="M81" i="4"/>
  <c r="L81" i="4"/>
  <c r="I81" i="4"/>
  <c r="AF80" i="4"/>
  <c r="W80" i="5" s="1"/>
  <c r="AA80" i="4"/>
  <c r="W80" i="4"/>
  <c r="Y80" i="4" s="1"/>
  <c r="U80" i="4"/>
  <c r="T80" i="4"/>
  <c r="R80" i="4"/>
  <c r="N80" i="4"/>
  <c r="M80" i="4"/>
  <c r="L80" i="4"/>
  <c r="J80" i="4"/>
  <c r="I80" i="4"/>
  <c r="H80" i="5" s="1"/>
  <c r="AA79" i="4"/>
  <c r="W79" i="4"/>
  <c r="U79" i="4"/>
  <c r="T79" i="4"/>
  <c r="Y79" i="4" s="1"/>
  <c r="R79" i="4"/>
  <c r="M79" i="4"/>
  <c r="L79" i="4"/>
  <c r="I79" i="4"/>
  <c r="AA78" i="4"/>
  <c r="Y78" i="4"/>
  <c r="W78" i="4"/>
  <c r="U78" i="4"/>
  <c r="T78" i="4"/>
  <c r="R78" i="4"/>
  <c r="M78" i="4"/>
  <c r="N78" i="4" s="1"/>
  <c r="L78" i="4"/>
  <c r="J78" i="4"/>
  <c r="I78" i="4"/>
  <c r="H78" i="5" s="1"/>
  <c r="AF77" i="4"/>
  <c r="W77" i="5" s="1"/>
  <c r="AA77" i="4"/>
  <c r="Y77" i="4"/>
  <c r="W77" i="4"/>
  <c r="U77" i="4"/>
  <c r="T77" i="4"/>
  <c r="R77" i="4"/>
  <c r="N77" i="4"/>
  <c r="AB77" i="4" s="1"/>
  <c r="U77" i="5" s="1"/>
  <c r="M77" i="4"/>
  <c r="L77" i="4"/>
  <c r="J77" i="4"/>
  <c r="I77" i="4"/>
  <c r="AA76" i="4"/>
  <c r="Y76" i="4"/>
  <c r="W76" i="4"/>
  <c r="U76" i="4"/>
  <c r="T76" i="4"/>
  <c r="R76" i="4"/>
  <c r="N76" i="4"/>
  <c r="M76" i="4"/>
  <c r="L76" i="4"/>
  <c r="J76" i="4"/>
  <c r="I76" i="4"/>
  <c r="H76" i="5" s="1"/>
  <c r="AA75" i="4"/>
  <c r="W75" i="4"/>
  <c r="U75" i="4"/>
  <c r="T75" i="4"/>
  <c r="R75" i="4"/>
  <c r="M75" i="4"/>
  <c r="N75" i="4" s="1"/>
  <c r="L75" i="4"/>
  <c r="J75" i="4"/>
  <c r="I75" i="4"/>
  <c r="H75" i="5" s="1"/>
  <c r="AA74" i="4"/>
  <c r="W74" i="4"/>
  <c r="U74" i="4"/>
  <c r="T74" i="4"/>
  <c r="Y74" i="4" s="1"/>
  <c r="R74" i="4"/>
  <c r="M74" i="4"/>
  <c r="L74" i="4"/>
  <c r="I74" i="4"/>
  <c r="AA73" i="4"/>
  <c r="W73" i="4"/>
  <c r="Y73" i="4" s="1"/>
  <c r="U73" i="4"/>
  <c r="T73" i="4"/>
  <c r="R73" i="4"/>
  <c r="N73" i="4"/>
  <c r="M73" i="4"/>
  <c r="L73" i="4"/>
  <c r="I73" i="4"/>
  <c r="AA72" i="4"/>
  <c r="W72" i="4"/>
  <c r="U72" i="4"/>
  <c r="T72" i="4"/>
  <c r="Y72" i="4" s="1"/>
  <c r="R72" i="4"/>
  <c r="M72" i="4"/>
  <c r="L72" i="4"/>
  <c r="J72" i="4"/>
  <c r="I72" i="4"/>
  <c r="AA71" i="4"/>
  <c r="W71" i="4"/>
  <c r="U71" i="4"/>
  <c r="Y71" i="4" s="1"/>
  <c r="T71" i="4"/>
  <c r="R71" i="4"/>
  <c r="M71" i="4"/>
  <c r="L71" i="4"/>
  <c r="I71" i="4"/>
  <c r="H71" i="5" s="1"/>
  <c r="AA70" i="4"/>
  <c r="W70" i="4"/>
  <c r="U70" i="4"/>
  <c r="Y70" i="4" s="1"/>
  <c r="T70" i="4"/>
  <c r="R70" i="4"/>
  <c r="M70" i="4"/>
  <c r="N70" i="4" s="1"/>
  <c r="L70" i="4"/>
  <c r="J70" i="4"/>
  <c r="I70" i="4"/>
  <c r="H70" i="5" s="1"/>
  <c r="AA69" i="4"/>
  <c r="W69" i="4"/>
  <c r="U69" i="4"/>
  <c r="T69" i="4"/>
  <c r="Y69" i="4" s="1"/>
  <c r="R69" i="4"/>
  <c r="M69" i="4"/>
  <c r="L69" i="4"/>
  <c r="I69" i="4"/>
  <c r="AA68" i="4"/>
  <c r="W68" i="4"/>
  <c r="U68" i="4"/>
  <c r="Y68" i="4" s="1"/>
  <c r="T68" i="4"/>
  <c r="R68" i="4"/>
  <c r="N68" i="4"/>
  <c r="M68" i="4"/>
  <c r="L68" i="4"/>
  <c r="J68" i="4"/>
  <c r="I68" i="4"/>
  <c r="H68" i="5" s="1"/>
  <c r="AA67" i="4"/>
  <c r="W67" i="4"/>
  <c r="U67" i="4"/>
  <c r="T67" i="4"/>
  <c r="R67" i="4"/>
  <c r="M67" i="4"/>
  <c r="N67" i="4" s="1"/>
  <c r="L67" i="4"/>
  <c r="J67" i="4"/>
  <c r="I67" i="4"/>
  <c r="H67" i="5" s="1"/>
  <c r="AA66" i="4"/>
  <c r="W66" i="4"/>
  <c r="Y66" i="4" s="1"/>
  <c r="U66" i="4"/>
  <c r="T66" i="4"/>
  <c r="R66" i="4"/>
  <c r="M66" i="4"/>
  <c r="L66" i="4"/>
  <c r="I66" i="4"/>
  <c r="AA65" i="4"/>
  <c r="W65" i="4"/>
  <c r="Y65" i="4" s="1"/>
  <c r="U65" i="4"/>
  <c r="T65" i="4"/>
  <c r="R65" i="4"/>
  <c r="M65" i="4"/>
  <c r="N65" i="4" s="1"/>
  <c r="L65" i="4"/>
  <c r="J65" i="4"/>
  <c r="I65" i="4"/>
  <c r="H65" i="5" s="1"/>
  <c r="AA64" i="4"/>
  <c r="W64" i="4"/>
  <c r="U64" i="4"/>
  <c r="T64" i="4"/>
  <c r="R64" i="4"/>
  <c r="M64" i="4"/>
  <c r="L64" i="4"/>
  <c r="I64" i="4"/>
  <c r="AA63" i="4"/>
  <c r="W63" i="4"/>
  <c r="U63" i="4"/>
  <c r="T63" i="4"/>
  <c r="Y63" i="4" s="1"/>
  <c r="R63" i="4"/>
  <c r="M63" i="4"/>
  <c r="L63" i="4"/>
  <c r="I63" i="4"/>
  <c r="AA62" i="4"/>
  <c r="W62" i="4"/>
  <c r="U62" i="4"/>
  <c r="T62" i="4"/>
  <c r="Y62" i="4" s="1"/>
  <c r="R62" i="4"/>
  <c r="M62" i="4"/>
  <c r="L62" i="4"/>
  <c r="I62" i="4"/>
  <c r="AA61" i="4"/>
  <c r="W61" i="4"/>
  <c r="U61" i="4"/>
  <c r="T61" i="4"/>
  <c r="Y61" i="4" s="1"/>
  <c r="R61" i="4"/>
  <c r="M61" i="4"/>
  <c r="L61" i="4"/>
  <c r="I61" i="4"/>
  <c r="AA60" i="4"/>
  <c r="W60" i="4"/>
  <c r="U60" i="4"/>
  <c r="T60" i="4"/>
  <c r="Y60" i="4" s="1"/>
  <c r="R60" i="4"/>
  <c r="N60" i="4"/>
  <c r="M60" i="4"/>
  <c r="L60" i="4"/>
  <c r="I60" i="4"/>
  <c r="AA59" i="4"/>
  <c r="W59" i="4"/>
  <c r="U59" i="4"/>
  <c r="T59" i="4"/>
  <c r="Y59" i="4" s="1"/>
  <c r="R59" i="4"/>
  <c r="M59" i="4"/>
  <c r="N59" i="4" s="1"/>
  <c r="L59" i="4"/>
  <c r="I59" i="4"/>
  <c r="AF58" i="4"/>
  <c r="W58" i="5" s="1"/>
  <c r="AB58" i="4"/>
  <c r="U58" i="5" s="1"/>
  <c r="AA58" i="4"/>
  <c r="W58" i="4"/>
  <c r="U58" i="4"/>
  <c r="T58" i="4"/>
  <c r="R58" i="4"/>
  <c r="M58" i="4"/>
  <c r="N58" i="4" s="1"/>
  <c r="L58" i="4"/>
  <c r="J58" i="4"/>
  <c r="I58" i="4"/>
  <c r="AA57" i="4"/>
  <c r="W57" i="4"/>
  <c r="U57" i="4"/>
  <c r="T57" i="4"/>
  <c r="R57" i="4"/>
  <c r="M57" i="4"/>
  <c r="N57" i="4" s="1"/>
  <c r="L57" i="4"/>
  <c r="J57" i="4"/>
  <c r="I57" i="4"/>
  <c r="AA56" i="4"/>
  <c r="W56" i="4"/>
  <c r="U56" i="4"/>
  <c r="T56" i="4"/>
  <c r="R56" i="4"/>
  <c r="M56" i="4"/>
  <c r="L56" i="4"/>
  <c r="I56" i="4"/>
  <c r="AA55" i="4"/>
  <c r="W55" i="4"/>
  <c r="U55" i="4"/>
  <c r="T55" i="4"/>
  <c r="Y55" i="4" s="1"/>
  <c r="R55" i="4"/>
  <c r="M55" i="4"/>
  <c r="L55" i="4"/>
  <c r="I55" i="4"/>
  <c r="AA54" i="4"/>
  <c r="W54" i="4"/>
  <c r="U54" i="4"/>
  <c r="T54" i="4"/>
  <c r="Y54" i="4" s="1"/>
  <c r="R54" i="4"/>
  <c r="M54" i="4"/>
  <c r="L54" i="4"/>
  <c r="I54" i="4"/>
  <c r="J54" i="4" s="1"/>
  <c r="AA53" i="4"/>
  <c r="W53" i="4"/>
  <c r="U53" i="4"/>
  <c r="T53" i="4"/>
  <c r="Y53" i="4" s="1"/>
  <c r="R53" i="4"/>
  <c r="M53" i="4"/>
  <c r="L53" i="4"/>
  <c r="I53" i="4"/>
  <c r="AA52" i="4"/>
  <c r="W52" i="4"/>
  <c r="U52" i="4"/>
  <c r="T52" i="4"/>
  <c r="Y52" i="4" s="1"/>
  <c r="R52" i="4"/>
  <c r="N52" i="4"/>
  <c r="M52" i="4"/>
  <c r="L52" i="4"/>
  <c r="I52" i="4"/>
  <c r="AA51" i="4"/>
  <c r="W51" i="4"/>
  <c r="U51" i="4"/>
  <c r="T51" i="4"/>
  <c r="Y51" i="4" s="1"/>
  <c r="R51" i="4"/>
  <c r="M51" i="4"/>
  <c r="N51" i="4" s="1"/>
  <c r="L51" i="4"/>
  <c r="I51" i="4"/>
  <c r="AF50" i="4"/>
  <c r="W50" i="5" s="1"/>
  <c r="AB50" i="4"/>
  <c r="U50" i="5" s="1"/>
  <c r="AA50" i="4"/>
  <c r="W50" i="4"/>
  <c r="U50" i="4"/>
  <c r="T50" i="4"/>
  <c r="R50" i="4"/>
  <c r="M50" i="4"/>
  <c r="N50" i="4" s="1"/>
  <c r="L50" i="4"/>
  <c r="J50" i="4"/>
  <c r="I50" i="4"/>
  <c r="AA49" i="4"/>
  <c r="W49" i="4"/>
  <c r="U49" i="4"/>
  <c r="T49" i="4"/>
  <c r="R49" i="4"/>
  <c r="M49" i="4"/>
  <c r="N49" i="4" s="1"/>
  <c r="L49" i="4"/>
  <c r="J49" i="4"/>
  <c r="I49" i="4"/>
  <c r="AA48" i="4"/>
  <c r="W48" i="4"/>
  <c r="Y48" i="4" s="1"/>
  <c r="U48" i="4"/>
  <c r="T48" i="4"/>
  <c r="R48" i="4"/>
  <c r="M48" i="4"/>
  <c r="N48" i="4" s="1"/>
  <c r="L48" i="4"/>
  <c r="J48" i="4"/>
  <c r="I48" i="4"/>
  <c r="AA47" i="4"/>
  <c r="Y47" i="4"/>
  <c r="W47" i="4"/>
  <c r="U47" i="4"/>
  <c r="T47" i="4"/>
  <c r="R47" i="4"/>
  <c r="N47" i="4"/>
  <c r="M47" i="4"/>
  <c r="L47" i="4"/>
  <c r="I47" i="4"/>
  <c r="H47" i="5" s="1"/>
  <c r="AA46" i="4"/>
  <c r="W46" i="4"/>
  <c r="U46" i="4"/>
  <c r="T46" i="4"/>
  <c r="Y46" i="4" s="1"/>
  <c r="R46" i="4"/>
  <c r="M46" i="4"/>
  <c r="L46" i="4"/>
  <c r="I46" i="4"/>
  <c r="H46" i="5" s="1"/>
  <c r="AA45" i="4"/>
  <c r="W45" i="4"/>
  <c r="U45" i="4"/>
  <c r="T45" i="4"/>
  <c r="R45" i="4"/>
  <c r="M45" i="4"/>
  <c r="L45" i="4"/>
  <c r="I45" i="4"/>
  <c r="AA44" i="4"/>
  <c r="Y44" i="4"/>
  <c r="W44" i="4"/>
  <c r="U44" i="4"/>
  <c r="T44" i="4"/>
  <c r="R44" i="4"/>
  <c r="M44" i="4"/>
  <c r="N44" i="4" s="1"/>
  <c r="L44" i="4"/>
  <c r="J44" i="4"/>
  <c r="I44" i="4"/>
  <c r="H44" i="5" s="1"/>
  <c r="AA43" i="4"/>
  <c r="Y43" i="4"/>
  <c r="W43" i="4"/>
  <c r="U43" i="4"/>
  <c r="T43" i="4"/>
  <c r="R43" i="4"/>
  <c r="O43" i="4"/>
  <c r="N43" i="4"/>
  <c r="M43" i="4"/>
  <c r="L43" i="4"/>
  <c r="I43" i="4"/>
  <c r="H43" i="5" s="1"/>
  <c r="AA42" i="4"/>
  <c r="W42" i="4"/>
  <c r="U42" i="4"/>
  <c r="T42" i="4"/>
  <c r="Y42" i="4" s="1"/>
  <c r="R42" i="4"/>
  <c r="M42" i="4"/>
  <c r="L42" i="4"/>
  <c r="I42" i="4"/>
  <c r="H42" i="5" s="1"/>
  <c r="AA41" i="4"/>
  <c r="W41" i="4"/>
  <c r="U41" i="4"/>
  <c r="T41" i="4"/>
  <c r="Y41" i="4" s="1"/>
  <c r="R41" i="4"/>
  <c r="M41" i="4"/>
  <c r="L41" i="4"/>
  <c r="J41" i="4"/>
  <c r="I41" i="4"/>
  <c r="AA40" i="4"/>
  <c r="W40" i="4"/>
  <c r="Y40" i="4" s="1"/>
  <c r="U40" i="4"/>
  <c r="T40" i="4"/>
  <c r="R40" i="4"/>
  <c r="M40" i="4"/>
  <c r="N40" i="4" s="1"/>
  <c r="L40" i="4"/>
  <c r="J40" i="4"/>
  <c r="I40" i="4"/>
  <c r="H40" i="5" s="1"/>
  <c r="AA39" i="4"/>
  <c r="Y39" i="4"/>
  <c r="W39" i="4"/>
  <c r="U39" i="4"/>
  <c r="T39" i="4"/>
  <c r="R39" i="4"/>
  <c r="N39" i="4"/>
  <c r="M39" i="4"/>
  <c r="L39" i="4"/>
  <c r="I39" i="4"/>
  <c r="H39" i="5" s="1"/>
  <c r="AA38" i="4"/>
  <c r="W38" i="4"/>
  <c r="U38" i="4"/>
  <c r="T38" i="4"/>
  <c r="Y38" i="4" s="1"/>
  <c r="R38" i="4"/>
  <c r="M38" i="4"/>
  <c r="L38" i="4"/>
  <c r="I38" i="4"/>
  <c r="H38" i="5" s="1"/>
  <c r="AA37" i="4"/>
  <c r="W37" i="4"/>
  <c r="U37" i="4"/>
  <c r="T37" i="4"/>
  <c r="R37" i="4"/>
  <c r="M37" i="4"/>
  <c r="L37" i="4"/>
  <c r="I37" i="4"/>
  <c r="AA36" i="4"/>
  <c r="Y36" i="4"/>
  <c r="W36" i="4"/>
  <c r="U36" i="4"/>
  <c r="T36" i="4"/>
  <c r="R36" i="4"/>
  <c r="M36" i="4"/>
  <c r="N36" i="4" s="1"/>
  <c r="L36" i="4"/>
  <c r="J36" i="4"/>
  <c r="I36" i="4"/>
  <c r="H36" i="5" s="1"/>
  <c r="AA35" i="4"/>
  <c r="Y35" i="4"/>
  <c r="W35" i="4"/>
  <c r="U35" i="4"/>
  <c r="T35" i="4"/>
  <c r="R35" i="4"/>
  <c r="O35" i="4"/>
  <c r="N35" i="4"/>
  <c r="M35" i="4"/>
  <c r="L35" i="4"/>
  <c r="I35" i="4"/>
  <c r="H35" i="5" s="1"/>
  <c r="AA34" i="4"/>
  <c r="W34" i="4"/>
  <c r="U34" i="4"/>
  <c r="T34" i="4"/>
  <c r="Y34" i="4" s="1"/>
  <c r="R34" i="4"/>
  <c r="M34" i="4"/>
  <c r="L34" i="4"/>
  <c r="I34" i="4"/>
  <c r="H34" i="5" s="1"/>
  <c r="AA33" i="4"/>
  <c r="W33" i="4"/>
  <c r="U33" i="4"/>
  <c r="T33" i="4"/>
  <c r="Y33" i="4" s="1"/>
  <c r="R33" i="4"/>
  <c r="M33" i="4"/>
  <c r="N33" i="4" s="1"/>
  <c r="L33" i="4"/>
  <c r="K33" i="4"/>
  <c r="E33" i="5" s="1"/>
  <c r="J33" i="4"/>
  <c r="I33" i="4"/>
  <c r="H33" i="5" s="1"/>
  <c r="AA32" i="4"/>
  <c r="W32" i="4"/>
  <c r="U32" i="4"/>
  <c r="T32" i="4"/>
  <c r="Y32" i="4" s="1"/>
  <c r="R32" i="4"/>
  <c r="M32" i="4"/>
  <c r="L32" i="4"/>
  <c r="I32" i="4"/>
  <c r="AA31" i="4"/>
  <c r="Y31" i="4"/>
  <c r="W31" i="4"/>
  <c r="U31" i="4"/>
  <c r="T31" i="4"/>
  <c r="R31" i="4"/>
  <c r="M31" i="4"/>
  <c r="N31" i="4" s="1"/>
  <c r="L31" i="4"/>
  <c r="I31" i="4"/>
  <c r="H31" i="5" s="1"/>
  <c r="AA30" i="4"/>
  <c r="W30" i="4"/>
  <c r="U30" i="4"/>
  <c r="T30" i="4"/>
  <c r="Y30" i="4" s="1"/>
  <c r="R30" i="4"/>
  <c r="M30" i="4"/>
  <c r="L30" i="4"/>
  <c r="J30" i="4"/>
  <c r="AF30" i="4" s="1"/>
  <c r="W30" i="5" s="1"/>
  <c r="I30" i="4"/>
  <c r="H30" i="5" s="1"/>
  <c r="AA29" i="4"/>
  <c r="Y29" i="4"/>
  <c r="W29" i="4"/>
  <c r="U29" i="4"/>
  <c r="T29" i="4"/>
  <c r="R29" i="4"/>
  <c r="M29" i="4"/>
  <c r="L29" i="4"/>
  <c r="I29" i="4"/>
  <c r="AA28" i="4"/>
  <c r="Y28" i="4"/>
  <c r="W28" i="4"/>
  <c r="U28" i="4"/>
  <c r="T28" i="4"/>
  <c r="R28" i="4"/>
  <c r="M28" i="4"/>
  <c r="N28" i="4" s="1"/>
  <c r="L28" i="4"/>
  <c r="I28" i="4"/>
  <c r="H28" i="5" s="1"/>
  <c r="AA27" i="4"/>
  <c r="W27" i="4"/>
  <c r="U27" i="4"/>
  <c r="T27" i="4"/>
  <c r="Y27" i="4" s="1"/>
  <c r="R27" i="4"/>
  <c r="M27" i="4"/>
  <c r="L27" i="4"/>
  <c r="I27" i="4"/>
  <c r="AA26" i="4"/>
  <c r="Y26" i="4"/>
  <c r="W26" i="4"/>
  <c r="U26" i="4"/>
  <c r="T26" i="4"/>
  <c r="R26" i="4"/>
  <c r="N26" i="4"/>
  <c r="M26" i="4"/>
  <c r="L26" i="4"/>
  <c r="I26" i="4"/>
  <c r="H26" i="5" s="1"/>
  <c r="AA25" i="4"/>
  <c r="W25" i="4"/>
  <c r="U25" i="4"/>
  <c r="T25" i="4"/>
  <c r="R25" i="4"/>
  <c r="M25" i="4"/>
  <c r="N25" i="4" s="1"/>
  <c r="L25" i="4"/>
  <c r="K25" i="4"/>
  <c r="E25" i="5" s="1"/>
  <c r="J25" i="4"/>
  <c r="I25" i="4"/>
  <c r="H25" i="5" s="1"/>
  <c r="AA24" i="4"/>
  <c r="W24" i="4"/>
  <c r="U24" i="4"/>
  <c r="T24" i="4"/>
  <c r="Y24" i="4" s="1"/>
  <c r="R24" i="4"/>
  <c r="M24" i="4"/>
  <c r="L24" i="4"/>
  <c r="I24" i="4"/>
  <c r="AA23" i="4"/>
  <c r="W23" i="4"/>
  <c r="Y23" i="4" s="1"/>
  <c r="U23" i="4"/>
  <c r="T23" i="4"/>
  <c r="R23" i="4"/>
  <c r="M23" i="4"/>
  <c r="N23" i="4" s="1"/>
  <c r="L23" i="4"/>
  <c r="I23" i="4"/>
  <c r="H23" i="5" s="1"/>
  <c r="AA22" i="4"/>
  <c r="W22" i="4"/>
  <c r="U22" i="4"/>
  <c r="T22" i="4"/>
  <c r="R22" i="4"/>
  <c r="M22" i="4"/>
  <c r="L22" i="4"/>
  <c r="J22" i="4"/>
  <c r="I22" i="4"/>
  <c r="H22" i="5" s="1"/>
  <c r="AA21" i="4"/>
  <c r="Y21" i="4"/>
  <c r="W21" i="4"/>
  <c r="U21" i="4"/>
  <c r="T21" i="4"/>
  <c r="R21" i="4"/>
  <c r="M21" i="4"/>
  <c r="L21" i="4"/>
  <c r="I21" i="4"/>
  <c r="AA20" i="4"/>
  <c r="W20" i="4"/>
  <c r="U20" i="4"/>
  <c r="Y20" i="4" s="1"/>
  <c r="T20" i="4"/>
  <c r="R20" i="4"/>
  <c r="M20" i="4"/>
  <c r="N20" i="4" s="1"/>
  <c r="L20" i="4"/>
  <c r="I20" i="4"/>
  <c r="H20" i="5" s="1"/>
  <c r="AA19" i="4"/>
  <c r="W19" i="4"/>
  <c r="U19" i="4"/>
  <c r="T19" i="4"/>
  <c r="Y19" i="4" s="1"/>
  <c r="R19" i="4"/>
  <c r="M19" i="4"/>
  <c r="L19" i="4"/>
  <c r="I19" i="4"/>
  <c r="AB18" i="4"/>
  <c r="U18" i="5" s="1"/>
  <c r="AA18" i="4"/>
  <c r="Y18" i="4"/>
  <c r="W18" i="4"/>
  <c r="U18" i="4"/>
  <c r="T18" i="4"/>
  <c r="R18" i="4"/>
  <c r="O18" i="4"/>
  <c r="N18" i="4"/>
  <c r="M18" i="4"/>
  <c r="L18" i="4"/>
  <c r="I18" i="4"/>
  <c r="H18" i="5" s="1"/>
  <c r="AA17" i="4"/>
  <c r="W17" i="4"/>
  <c r="U17" i="4"/>
  <c r="T17" i="4"/>
  <c r="R17" i="4"/>
  <c r="M17" i="4"/>
  <c r="N17" i="4" s="1"/>
  <c r="L17" i="4"/>
  <c r="K17" i="4"/>
  <c r="E17" i="5" s="1"/>
  <c r="J17" i="4"/>
  <c r="I17" i="4"/>
  <c r="H17" i="5" s="1"/>
  <c r="AA16" i="4"/>
  <c r="W16" i="4"/>
  <c r="U16" i="4"/>
  <c r="T16" i="4"/>
  <c r="Y16" i="4" s="1"/>
  <c r="R16" i="4"/>
  <c r="M16" i="4"/>
  <c r="L16" i="4"/>
  <c r="I16" i="4"/>
  <c r="AA15" i="4"/>
  <c r="Y15" i="4"/>
  <c r="W15" i="4"/>
  <c r="U15" i="4"/>
  <c r="T15" i="4"/>
  <c r="R15" i="4"/>
  <c r="O15" i="4"/>
  <c r="N15" i="4"/>
  <c r="M15" i="4"/>
  <c r="L15" i="4"/>
  <c r="I15" i="4"/>
  <c r="H15" i="5" s="1"/>
  <c r="AA14" i="4"/>
  <c r="W14" i="4"/>
  <c r="U14" i="4"/>
  <c r="T14" i="4"/>
  <c r="Y14" i="4" s="1"/>
  <c r="R14" i="4"/>
  <c r="M14" i="4"/>
  <c r="L14" i="4"/>
  <c r="J14" i="4"/>
  <c r="I14" i="4"/>
  <c r="H14" i="5" s="1"/>
  <c r="AA13" i="4"/>
  <c r="Y13" i="4"/>
  <c r="W13" i="4"/>
  <c r="U13" i="4"/>
  <c r="T13" i="4"/>
  <c r="R13" i="4"/>
  <c r="M13" i="4"/>
  <c r="L13" i="4"/>
  <c r="I13" i="4"/>
  <c r="AA12" i="4"/>
  <c r="W12" i="4"/>
  <c r="U12" i="4"/>
  <c r="Y12" i="4" s="1"/>
  <c r="T12" i="4"/>
  <c r="R12" i="4"/>
  <c r="M12" i="4"/>
  <c r="N12" i="4" s="1"/>
  <c r="L12" i="4"/>
  <c r="I12" i="4"/>
  <c r="H12" i="5" s="1"/>
  <c r="AA11" i="4"/>
  <c r="W11" i="4"/>
  <c r="U11" i="4"/>
  <c r="T11" i="4"/>
  <c r="Y11" i="4" s="1"/>
  <c r="R11" i="4"/>
  <c r="M11" i="4"/>
  <c r="L11" i="4"/>
  <c r="I11" i="4"/>
  <c r="AA10" i="4"/>
  <c r="Y10" i="4"/>
  <c r="W10" i="4"/>
  <c r="U10" i="4"/>
  <c r="T10" i="4"/>
  <c r="R10" i="4"/>
  <c r="N10" i="4"/>
  <c r="M10" i="4"/>
  <c r="L10" i="4"/>
  <c r="I10" i="4"/>
  <c r="H10" i="5" s="1"/>
  <c r="AA9" i="4"/>
  <c r="W9" i="4"/>
  <c r="U9" i="4"/>
  <c r="T9" i="4"/>
  <c r="Y9" i="4" s="1"/>
  <c r="R9" i="4"/>
  <c r="M9" i="4"/>
  <c r="N9" i="4" s="1"/>
  <c r="L9" i="4"/>
  <c r="K9" i="4"/>
  <c r="E9" i="5" s="1"/>
  <c r="J9" i="4"/>
  <c r="I9" i="4"/>
  <c r="H9" i="5" s="1"/>
  <c r="AA8" i="4"/>
  <c r="W8" i="4"/>
  <c r="U8" i="4"/>
  <c r="T8" i="4"/>
  <c r="Y8" i="4" s="1"/>
  <c r="R8" i="4"/>
  <c r="M8" i="4"/>
  <c r="L8" i="4"/>
  <c r="I8" i="4"/>
  <c r="AA7" i="4"/>
  <c r="W7" i="4"/>
  <c r="Y7" i="4" s="1"/>
  <c r="U7" i="4"/>
  <c r="T7" i="4"/>
  <c r="R7" i="4"/>
  <c r="M7" i="4"/>
  <c r="N7" i="4" s="1"/>
  <c r="L7" i="4"/>
  <c r="I7" i="4"/>
  <c r="H7" i="5" s="1"/>
  <c r="AA6" i="4"/>
  <c r="W6" i="4"/>
  <c r="U6" i="4"/>
  <c r="T6" i="4"/>
  <c r="M6" i="4"/>
  <c r="L6" i="4"/>
  <c r="J6" i="4"/>
  <c r="I6" i="4"/>
  <c r="H6" i="5" s="1"/>
  <c r="AA5" i="4"/>
  <c r="Y5" i="4"/>
  <c r="W5" i="4"/>
  <c r="U5" i="4"/>
  <c r="T5" i="4"/>
  <c r="M5" i="4"/>
  <c r="I5" i="4"/>
  <c r="AA4" i="4"/>
  <c r="W4" i="4"/>
  <c r="U4" i="4"/>
  <c r="Y4" i="4" s="1"/>
  <c r="T4" i="4"/>
  <c r="M4" i="4"/>
  <c r="L4" i="4"/>
  <c r="I4" i="4"/>
  <c r="H4" i="5" s="1"/>
  <c r="C10" i="2"/>
  <c r="B10" i="2"/>
  <c r="G9" i="2"/>
  <c r="C9" i="2"/>
  <c r="E9" i="2" s="1"/>
  <c r="B9" i="2"/>
  <c r="F9" i="2" s="1"/>
  <c r="G8" i="2"/>
  <c r="F8" i="2"/>
  <c r="E8" i="2"/>
  <c r="D8" i="2"/>
  <c r="G7" i="2"/>
  <c r="F7" i="2"/>
  <c r="E7" i="2"/>
  <c r="D7" i="2"/>
  <c r="G6" i="2"/>
  <c r="F6" i="2"/>
  <c r="E6" i="2"/>
  <c r="D6" i="2"/>
  <c r="G5" i="2"/>
  <c r="F5" i="2"/>
  <c r="E5" i="2"/>
  <c r="D5" i="2"/>
  <c r="G4" i="2"/>
  <c r="G10" i="2" s="1"/>
  <c r="F4" i="2"/>
  <c r="F10" i="2" s="1"/>
  <c r="E4" i="2"/>
  <c r="E10" i="2" s="1"/>
  <c r="D4" i="2"/>
  <c r="C70" i="1"/>
  <c r="C69" i="1"/>
  <c r="G24" i="3" s="1"/>
  <c r="C68" i="1"/>
  <c r="C72" i="1" s="1"/>
  <c r="G28" i="3" s="1"/>
  <c r="C56" i="1"/>
  <c r="E51" i="1"/>
  <c r="C50" i="1"/>
  <c r="E12" i="1"/>
  <c r="C12" i="1"/>
  <c r="C8" i="1"/>
  <c r="C13" i="1" s="1"/>
  <c r="G27" i="3"/>
  <c r="G26" i="3"/>
  <c r="G23" i="3"/>
  <c r="E21" i="3"/>
  <c r="F21" i="3" s="1"/>
  <c r="C21" i="3"/>
  <c r="D21" i="3" s="1"/>
  <c r="F16" i="3"/>
  <c r="E16" i="3"/>
  <c r="C16" i="3"/>
  <c r="D16" i="3" s="1"/>
  <c r="E15" i="3"/>
  <c r="F15" i="3" s="1"/>
  <c r="C15" i="3"/>
  <c r="D15" i="3" s="1"/>
  <c r="F14" i="3"/>
  <c r="E14" i="3"/>
  <c r="C14" i="3"/>
  <c r="D14" i="3" s="1"/>
  <c r="E13" i="3"/>
  <c r="F13" i="3" s="1"/>
  <c r="D13" i="3"/>
  <c r="C13" i="3"/>
  <c r="F12" i="3"/>
  <c r="E12" i="3"/>
  <c r="C12" i="3"/>
  <c r="D12" i="3" s="1"/>
  <c r="E11" i="3"/>
  <c r="F11" i="3" s="1"/>
  <c r="D11" i="3"/>
  <c r="C11" i="3"/>
  <c r="F10" i="3"/>
  <c r="E10" i="3"/>
  <c r="C10" i="3"/>
  <c r="D10" i="3" s="1"/>
  <c r="E9" i="3"/>
  <c r="F9" i="3" s="1"/>
  <c r="C9" i="3"/>
  <c r="C17" i="3" s="1"/>
  <c r="F8" i="3"/>
  <c r="E8" i="3"/>
  <c r="C8" i="3"/>
  <c r="D8" i="3" s="1"/>
  <c r="E7" i="3"/>
  <c r="F7" i="3" s="1"/>
  <c r="C7" i="3"/>
  <c r="D7" i="3" s="1"/>
  <c r="F6" i="3"/>
  <c r="E6" i="3"/>
  <c r="C6" i="3"/>
  <c r="D6" i="3" s="1"/>
  <c r="E5" i="3"/>
  <c r="F5" i="3" s="1"/>
  <c r="D5" i="3"/>
  <c r="C5" i="3"/>
  <c r="F4" i="3"/>
  <c r="E4" i="3"/>
  <c r="C4" i="3"/>
  <c r="D4" i="3" s="1"/>
  <c r="N4" i="4" l="1"/>
  <c r="C18" i="3"/>
  <c r="D18" i="3" s="1"/>
  <c r="D17" i="3"/>
  <c r="C19" i="3"/>
  <c r="J12" i="5"/>
  <c r="Z12" i="4"/>
  <c r="T12" i="5" s="1"/>
  <c r="P12" i="4"/>
  <c r="S12" i="4"/>
  <c r="AB12" i="4"/>
  <c r="U12" i="5" s="1"/>
  <c r="O12" i="4"/>
  <c r="J28" i="5"/>
  <c r="Z28" i="4"/>
  <c r="T28" i="5" s="1"/>
  <c r="P28" i="4"/>
  <c r="S28" i="4"/>
  <c r="AB28" i="4"/>
  <c r="U28" i="5" s="1"/>
  <c r="O28" i="4"/>
  <c r="J59" i="5"/>
  <c r="Z59" i="4"/>
  <c r="T59" i="5" s="1"/>
  <c r="O59" i="4"/>
  <c r="P59" i="4" s="1"/>
  <c r="S59" i="4"/>
  <c r="AB59" i="4"/>
  <c r="U59" i="5" s="1"/>
  <c r="J20" i="5"/>
  <c r="Z20" i="4"/>
  <c r="T20" i="5" s="1"/>
  <c r="S20" i="4"/>
  <c r="O20" i="4"/>
  <c r="P20" i="4" s="1"/>
  <c r="AB20" i="4"/>
  <c r="U20" i="5" s="1"/>
  <c r="J7" i="5"/>
  <c r="Z7" i="4"/>
  <c r="T7" i="5" s="1"/>
  <c r="S7" i="4"/>
  <c r="AB7" i="4"/>
  <c r="U7" i="5" s="1"/>
  <c r="O7" i="4"/>
  <c r="P7" i="4" s="1"/>
  <c r="J31" i="5"/>
  <c r="Z31" i="4"/>
  <c r="T31" i="5" s="1"/>
  <c r="S31" i="4"/>
  <c r="AB31" i="4"/>
  <c r="U31" i="5" s="1"/>
  <c r="O31" i="4"/>
  <c r="P31" i="4" s="1"/>
  <c r="J51" i="5"/>
  <c r="Z51" i="4"/>
  <c r="T51" i="5" s="1"/>
  <c r="P51" i="4"/>
  <c r="O51" i="4"/>
  <c r="S51" i="4"/>
  <c r="AB51" i="4"/>
  <c r="U51" i="5" s="1"/>
  <c r="J23" i="5"/>
  <c r="Z23" i="4"/>
  <c r="T23" i="5" s="1"/>
  <c r="S23" i="4"/>
  <c r="AB23" i="4"/>
  <c r="U23" i="5" s="1"/>
  <c r="O23" i="4"/>
  <c r="P23" i="4" s="1"/>
  <c r="J4" i="5"/>
  <c r="K4" i="5" s="1"/>
  <c r="Z4" i="4"/>
  <c r="T4" i="5" s="1"/>
  <c r="O4" i="4"/>
  <c r="P4" i="4" s="1"/>
  <c r="AB4" i="4"/>
  <c r="U4" i="5" s="1"/>
  <c r="C20" i="3"/>
  <c r="D20" i="3" s="1"/>
  <c r="E20" i="3"/>
  <c r="F20" i="3" s="1"/>
  <c r="I6" i="5"/>
  <c r="AE6" i="4"/>
  <c r="V6" i="5" s="1"/>
  <c r="H8" i="5"/>
  <c r="N8" i="4"/>
  <c r="H11" i="5"/>
  <c r="N11" i="4"/>
  <c r="I14" i="5"/>
  <c r="AE14" i="4"/>
  <c r="V14" i="5" s="1"/>
  <c r="J15" i="5"/>
  <c r="Z15" i="4"/>
  <c r="T15" i="5" s="1"/>
  <c r="P15" i="4"/>
  <c r="AB15" i="4"/>
  <c r="U15" i="5" s="1"/>
  <c r="S15" i="4"/>
  <c r="J26" i="5"/>
  <c r="Z26" i="4"/>
  <c r="T26" i="5" s="1"/>
  <c r="S26" i="4"/>
  <c r="J35" i="5"/>
  <c r="Z35" i="4"/>
  <c r="T35" i="5" s="1"/>
  <c r="P35" i="4"/>
  <c r="S35" i="4"/>
  <c r="AB35" i="4"/>
  <c r="U35" i="5" s="1"/>
  <c r="Y37" i="4"/>
  <c r="J40" i="5"/>
  <c r="Z40" i="4"/>
  <c r="T40" i="5" s="1"/>
  <c r="P40" i="4"/>
  <c r="S40" i="4"/>
  <c r="O40" i="4"/>
  <c r="AB40" i="4"/>
  <c r="U40" i="5" s="1"/>
  <c r="I41" i="5"/>
  <c r="AE41" i="4"/>
  <c r="V41" i="5" s="1"/>
  <c r="K41" i="4"/>
  <c r="E41" i="5" s="1"/>
  <c r="AF41" i="4"/>
  <c r="W41" i="5" s="1"/>
  <c r="J43" i="5"/>
  <c r="Z43" i="4"/>
  <c r="T43" i="5" s="1"/>
  <c r="P43" i="4"/>
  <c r="S43" i="4"/>
  <c r="AB43" i="4"/>
  <c r="U43" i="5" s="1"/>
  <c r="Y45" i="4"/>
  <c r="J48" i="5"/>
  <c r="Z48" i="4"/>
  <c r="T48" i="5" s="1"/>
  <c r="S48" i="4"/>
  <c r="AB48" i="4"/>
  <c r="U48" i="5" s="1"/>
  <c r="O48" i="4"/>
  <c r="P48" i="4" s="1"/>
  <c r="I49" i="5"/>
  <c r="AE49" i="4"/>
  <c r="V49" i="5" s="1"/>
  <c r="K49" i="4"/>
  <c r="E49" i="5" s="1"/>
  <c r="AF49" i="4"/>
  <c r="W49" i="5" s="1"/>
  <c r="I57" i="5"/>
  <c r="AE57" i="4"/>
  <c r="V57" i="5" s="1"/>
  <c r="K57" i="4"/>
  <c r="E57" i="5" s="1"/>
  <c r="AF57" i="4"/>
  <c r="W57" i="5" s="1"/>
  <c r="I65" i="5"/>
  <c r="AE65" i="4"/>
  <c r="V65" i="5" s="1"/>
  <c r="K65" i="4"/>
  <c r="E65" i="5" s="1"/>
  <c r="AF65" i="4"/>
  <c r="W65" i="5" s="1"/>
  <c r="H81" i="5"/>
  <c r="J81" i="4"/>
  <c r="N81" i="4"/>
  <c r="J93" i="5"/>
  <c r="S93" i="4"/>
  <c r="AB93" i="4"/>
  <c r="U93" i="5" s="1"/>
  <c r="P93" i="4"/>
  <c r="J98" i="5"/>
  <c r="S98" i="4"/>
  <c r="AB98" i="4"/>
  <c r="U98" i="5" s="1"/>
  <c r="Z98" i="4"/>
  <c r="T98" i="5" s="1"/>
  <c r="O98" i="4"/>
  <c r="P98" i="4" s="1"/>
  <c r="K14" i="4"/>
  <c r="E14" i="5" s="1"/>
  <c r="O26" i="4"/>
  <c r="P26" i="4" s="1"/>
  <c r="J78" i="5"/>
  <c r="S78" i="4"/>
  <c r="P78" i="4"/>
  <c r="Z78" i="4"/>
  <c r="T78" i="5" s="1"/>
  <c r="O78" i="4"/>
  <c r="AB78" i="4"/>
  <c r="U78" i="5" s="1"/>
  <c r="J25" i="5"/>
  <c r="Z25" i="4"/>
  <c r="T25" i="5" s="1"/>
  <c r="AB25" i="4"/>
  <c r="U25" i="5" s="1"/>
  <c r="O25" i="4"/>
  <c r="P25" i="4" s="1"/>
  <c r="S25" i="4"/>
  <c r="H29" i="5"/>
  <c r="J29" i="4"/>
  <c r="N29" i="4"/>
  <c r="J36" i="5"/>
  <c r="Z36" i="4"/>
  <c r="T36" i="5" s="1"/>
  <c r="S36" i="4"/>
  <c r="O36" i="4"/>
  <c r="P36" i="4" s="1"/>
  <c r="AB36" i="4"/>
  <c r="U36" i="5" s="1"/>
  <c r="J37" i="4"/>
  <c r="J39" i="5"/>
  <c r="Z39" i="4"/>
  <c r="T39" i="5" s="1"/>
  <c r="S39" i="4"/>
  <c r="AB39" i="4"/>
  <c r="U39" i="5" s="1"/>
  <c r="J44" i="5"/>
  <c r="Z44" i="4"/>
  <c r="T44" i="5" s="1"/>
  <c r="P44" i="4"/>
  <c r="S44" i="4"/>
  <c r="O44" i="4"/>
  <c r="AB44" i="4"/>
  <c r="U44" i="5" s="1"/>
  <c r="J45" i="4"/>
  <c r="J47" i="5"/>
  <c r="Z47" i="4"/>
  <c r="T47" i="5" s="1"/>
  <c r="S47" i="4"/>
  <c r="AB47" i="4"/>
  <c r="U47" i="5" s="1"/>
  <c r="H69" i="5"/>
  <c r="N69" i="4"/>
  <c r="H83" i="5"/>
  <c r="J83" i="4"/>
  <c r="N83" i="4"/>
  <c r="H89" i="5"/>
  <c r="J89" i="4"/>
  <c r="N89" i="4"/>
  <c r="J103" i="5"/>
  <c r="S103" i="4"/>
  <c r="AB103" i="4"/>
  <c r="U103" i="5" s="1"/>
  <c r="Z103" i="4"/>
  <c r="T103" i="5" s="1"/>
  <c r="O103" i="4"/>
  <c r="P103" i="4" s="1"/>
  <c r="K6" i="4"/>
  <c r="E6" i="5" s="1"/>
  <c r="J8" i="4"/>
  <c r="H16" i="5"/>
  <c r="N16" i="4"/>
  <c r="H19" i="5"/>
  <c r="N19" i="4"/>
  <c r="I22" i="5"/>
  <c r="AE22" i="4"/>
  <c r="V22" i="5" s="1"/>
  <c r="AB26" i="4"/>
  <c r="U26" i="5" s="1"/>
  <c r="J60" i="5"/>
  <c r="Z60" i="4"/>
  <c r="T60" i="5" s="1"/>
  <c r="O60" i="4"/>
  <c r="P60" i="4" s="1"/>
  <c r="S60" i="4"/>
  <c r="AB60" i="4"/>
  <c r="U60" i="5" s="1"/>
  <c r="H66" i="5"/>
  <c r="J66" i="4"/>
  <c r="N66" i="4"/>
  <c r="J70" i="5"/>
  <c r="S70" i="4"/>
  <c r="P70" i="4"/>
  <c r="Z70" i="4"/>
  <c r="T70" i="5" s="1"/>
  <c r="O70" i="4"/>
  <c r="AB70" i="4"/>
  <c r="U70" i="5" s="1"/>
  <c r="I72" i="5"/>
  <c r="AE72" i="4"/>
  <c r="V72" i="5" s="1"/>
  <c r="K72" i="4"/>
  <c r="E72" i="5" s="1"/>
  <c r="AF72" i="4"/>
  <c r="W72" i="5" s="1"/>
  <c r="D9" i="3"/>
  <c r="J9" i="5"/>
  <c r="Z9" i="4"/>
  <c r="T9" i="5" s="1"/>
  <c r="AB9" i="4"/>
  <c r="U9" i="5" s="1"/>
  <c r="O9" i="4"/>
  <c r="P9" i="4" s="1"/>
  <c r="S9" i="4"/>
  <c r="H13" i="5"/>
  <c r="N13" i="4"/>
  <c r="J13" i="4"/>
  <c r="AF14" i="4"/>
  <c r="W14" i="5" s="1"/>
  <c r="J16" i="4"/>
  <c r="J19" i="4"/>
  <c r="K22" i="4"/>
  <c r="E22" i="5" s="1"/>
  <c r="H24" i="5"/>
  <c r="N24" i="4"/>
  <c r="H27" i="5"/>
  <c r="N27" i="4"/>
  <c r="I30" i="5"/>
  <c r="AE30" i="4"/>
  <c r="V30" i="5" s="1"/>
  <c r="J33" i="5"/>
  <c r="Z33" i="4"/>
  <c r="T33" i="5" s="1"/>
  <c r="AB33" i="4"/>
  <c r="U33" i="5" s="1"/>
  <c r="O33" i="4"/>
  <c r="P33" i="4" s="1"/>
  <c r="S33" i="4"/>
  <c r="J49" i="5"/>
  <c r="P49" i="4"/>
  <c r="O49" i="4"/>
  <c r="S49" i="4"/>
  <c r="AB49" i="4"/>
  <c r="U49" i="5" s="1"/>
  <c r="J57" i="5"/>
  <c r="O57" i="4"/>
  <c r="P57" i="4" s="1"/>
  <c r="S57" i="4"/>
  <c r="AB57" i="4"/>
  <c r="U57" i="5" s="1"/>
  <c r="J65" i="5"/>
  <c r="S65" i="4"/>
  <c r="AB65" i="4"/>
  <c r="U65" i="5" s="1"/>
  <c r="P65" i="4"/>
  <c r="Z65" i="4"/>
  <c r="T65" i="5" s="1"/>
  <c r="O65" i="4"/>
  <c r="I67" i="5"/>
  <c r="AE67" i="4"/>
  <c r="V67" i="5" s="1"/>
  <c r="K67" i="4"/>
  <c r="E67" i="5" s="1"/>
  <c r="AF67" i="4"/>
  <c r="W67" i="5" s="1"/>
  <c r="J87" i="5"/>
  <c r="S87" i="4"/>
  <c r="AB87" i="4"/>
  <c r="U87" i="5" s="1"/>
  <c r="P87" i="4"/>
  <c r="O93" i="4"/>
  <c r="H5" i="5"/>
  <c r="N5" i="4"/>
  <c r="J5" i="4"/>
  <c r="H21" i="5"/>
  <c r="J21" i="4"/>
  <c r="N21" i="4"/>
  <c r="Y6" i="4"/>
  <c r="Y17" i="4"/>
  <c r="O39" i="4"/>
  <c r="P39" i="4" s="1"/>
  <c r="O47" i="4"/>
  <c r="P47" i="4" s="1"/>
  <c r="I54" i="5"/>
  <c r="AE54" i="4"/>
  <c r="V54" i="5" s="1"/>
  <c r="K54" i="4"/>
  <c r="E54" i="5" s="1"/>
  <c r="AF54" i="4"/>
  <c r="W54" i="5" s="1"/>
  <c r="J69" i="4"/>
  <c r="J73" i="5"/>
  <c r="S73" i="4"/>
  <c r="AB73" i="4"/>
  <c r="U73" i="5" s="1"/>
  <c r="P73" i="4"/>
  <c r="Z73" i="4"/>
  <c r="T73" i="5" s="1"/>
  <c r="J10" i="5"/>
  <c r="Z10" i="4"/>
  <c r="T10" i="5" s="1"/>
  <c r="P10" i="4"/>
  <c r="S10" i="4"/>
  <c r="Y25" i="4"/>
  <c r="H55" i="5"/>
  <c r="J55" i="4"/>
  <c r="N55" i="4"/>
  <c r="H56" i="5"/>
  <c r="N56" i="4"/>
  <c r="H63" i="5"/>
  <c r="J63" i="4"/>
  <c r="N63" i="4"/>
  <c r="H64" i="5"/>
  <c r="N64" i="4"/>
  <c r="O73" i="4"/>
  <c r="Q92" i="5"/>
  <c r="Q92" i="4"/>
  <c r="R92" i="5" s="1"/>
  <c r="AF6" i="4"/>
  <c r="W6" i="5" s="1"/>
  <c r="J11" i="4"/>
  <c r="J52" i="5"/>
  <c r="Z52" i="4"/>
  <c r="T52" i="5" s="1"/>
  <c r="O52" i="4"/>
  <c r="P52" i="4" s="1"/>
  <c r="S52" i="4"/>
  <c r="AB52" i="4"/>
  <c r="U52" i="5" s="1"/>
  <c r="J17" i="5"/>
  <c r="Z17" i="4"/>
  <c r="T17" i="5" s="1"/>
  <c r="P17" i="4"/>
  <c r="AB17" i="4"/>
  <c r="U17" i="5" s="1"/>
  <c r="O17" i="4"/>
  <c r="S17" i="4"/>
  <c r="AF22" i="4"/>
  <c r="W22" i="5" s="1"/>
  <c r="J24" i="4"/>
  <c r="J27" i="4"/>
  <c r="K30" i="4"/>
  <c r="E30" i="5" s="1"/>
  <c r="H32" i="5"/>
  <c r="N32" i="4"/>
  <c r="J32" i="4"/>
  <c r="H37" i="5"/>
  <c r="N37" i="4"/>
  <c r="H45" i="5"/>
  <c r="N45" i="4"/>
  <c r="J50" i="5"/>
  <c r="O50" i="4"/>
  <c r="P50" i="4" s="1"/>
  <c r="S50" i="4"/>
  <c r="J58" i="5"/>
  <c r="P58" i="4"/>
  <c r="O58" i="4"/>
  <c r="S58" i="4"/>
  <c r="I68" i="5"/>
  <c r="AE68" i="4"/>
  <c r="V68" i="5" s="1"/>
  <c r="K68" i="4"/>
  <c r="E68" i="5" s="1"/>
  <c r="AF68" i="4"/>
  <c r="W68" i="5" s="1"/>
  <c r="O87" i="4"/>
  <c r="O10" i="4"/>
  <c r="AB10" i="4"/>
  <c r="U10" i="5" s="1"/>
  <c r="J18" i="5"/>
  <c r="Z18" i="4"/>
  <c r="T18" i="5" s="1"/>
  <c r="P18" i="4"/>
  <c r="S18" i="4"/>
  <c r="Y22" i="4"/>
  <c r="H41" i="5"/>
  <c r="N41" i="4"/>
  <c r="J56" i="4"/>
  <c r="J64" i="4"/>
  <c r="Q100" i="5"/>
  <c r="Q100" i="4"/>
  <c r="R100" i="5" s="1"/>
  <c r="I75" i="5"/>
  <c r="AE75" i="4"/>
  <c r="V75" i="5" s="1"/>
  <c r="K75" i="4"/>
  <c r="E75" i="5" s="1"/>
  <c r="AF75" i="4"/>
  <c r="W75" i="5" s="1"/>
  <c r="J76" i="5"/>
  <c r="S76" i="4"/>
  <c r="AB76" i="4"/>
  <c r="U76" i="5" s="1"/>
  <c r="Z76" i="4"/>
  <c r="T76" i="5" s="1"/>
  <c r="E17" i="3"/>
  <c r="J42" i="4"/>
  <c r="H53" i="5"/>
  <c r="H61" i="5"/>
  <c r="J68" i="5"/>
  <c r="S68" i="4"/>
  <c r="AB68" i="4"/>
  <c r="U68" i="5" s="1"/>
  <c r="I9" i="5"/>
  <c r="AF9" i="4"/>
  <c r="W9" i="5" s="1"/>
  <c r="I17" i="5"/>
  <c r="AF17" i="4"/>
  <c r="W17" i="5" s="1"/>
  <c r="I25" i="5"/>
  <c r="AF25" i="4"/>
  <c r="W25" i="5" s="1"/>
  <c r="I33" i="5"/>
  <c r="AE33" i="4"/>
  <c r="V33" i="5" s="1"/>
  <c r="I36" i="5"/>
  <c r="AE36" i="4"/>
  <c r="V36" i="5" s="1"/>
  <c r="K36" i="4"/>
  <c r="E36" i="5" s="1"/>
  <c r="I40" i="5"/>
  <c r="AE40" i="4"/>
  <c r="V40" i="5" s="1"/>
  <c r="K40" i="4"/>
  <c r="E40" i="5" s="1"/>
  <c r="I44" i="5"/>
  <c r="AE44" i="4"/>
  <c r="V44" i="5" s="1"/>
  <c r="K44" i="4"/>
  <c r="E44" i="5" s="1"/>
  <c r="I48" i="5"/>
  <c r="AE48" i="4"/>
  <c r="V48" i="5" s="1"/>
  <c r="K48" i="4"/>
  <c r="E48" i="5" s="1"/>
  <c r="H49" i="5"/>
  <c r="I50" i="5"/>
  <c r="AE50" i="4"/>
  <c r="V50" i="5" s="1"/>
  <c r="K50" i="4"/>
  <c r="E50" i="5" s="1"/>
  <c r="N53" i="4"/>
  <c r="Y56" i="4"/>
  <c r="H57" i="5"/>
  <c r="I58" i="5"/>
  <c r="AE58" i="4"/>
  <c r="V58" i="5" s="1"/>
  <c r="K58" i="4"/>
  <c r="E58" i="5" s="1"/>
  <c r="N61" i="4"/>
  <c r="Y64" i="4"/>
  <c r="Y67" i="4"/>
  <c r="H72" i="5"/>
  <c r="N72" i="4"/>
  <c r="Y75" i="4"/>
  <c r="I76" i="5"/>
  <c r="AE76" i="4"/>
  <c r="V76" i="5" s="1"/>
  <c r="K76" i="4"/>
  <c r="E76" i="5" s="1"/>
  <c r="AF76" i="4"/>
  <c r="W76" i="5" s="1"/>
  <c r="I77" i="5"/>
  <c r="AE77" i="4"/>
  <c r="V77" i="5" s="1"/>
  <c r="K77" i="4"/>
  <c r="E77" i="5" s="1"/>
  <c r="Y86" i="4"/>
  <c r="J90" i="5"/>
  <c r="S90" i="4"/>
  <c r="AB90" i="4"/>
  <c r="U90" i="5" s="1"/>
  <c r="Z90" i="4"/>
  <c r="T90" i="5" s="1"/>
  <c r="O90" i="4"/>
  <c r="P90" i="4"/>
  <c r="J111" i="5"/>
  <c r="O111" i="4"/>
  <c r="P111" i="4" s="1"/>
  <c r="S111" i="4"/>
  <c r="AB111" i="4"/>
  <c r="U111" i="5" s="1"/>
  <c r="I127" i="5"/>
  <c r="AE127" i="4"/>
  <c r="V127" i="5" s="1"/>
  <c r="AF127" i="4"/>
  <c r="W127" i="5" s="1"/>
  <c r="K127" i="4"/>
  <c r="E127" i="5" s="1"/>
  <c r="H106" i="5"/>
  <c r="J106" i="4"/>
  <c r="N106" i="4"/>
  <c r="J121" i="5"/>
  <c r="O121" i="4"/>
  <c r="P121" i="4"/>
  <c r="AB121" i="4"/>
  <c r="U121" i="5" s="1"/>
  <c r="S121" i="4"/>
  <c r="Z121" i="4"/>
  <c r="T121" i="5" s="1"/>
  <c r="H122" i="5"/>
  <c r="J122" i="4"/>
  <c r="N122" i="4"/>
  <c r="J138" i="5"/>
  <c r="O138" i="4"/>
  <c r="P138" i="4" s="1"/>
  <c r="S138" i="4"/>
  <c r="AB138" i="4"/>
  <c r="U138" i="5" s="1"/>
  <c r="I145" i="5"/>
  <c r="AF145" i="4"/>
  <c r="W145" i="5" s="1"/>
  <c r="AE145" i="4"/>
  <c r="V145" i="5" s="1"/>
  <c r="J119" i="5"/>
  <c r="O119" i="4"/>
  <c r="P119" i="4" s="1"/>
  <c r="Z119" i="4"/>
  <c r="T119" i="5" s="1"/>
  <c r="AB119" i="4"/>
  <c r="U119" i="5" s="1"/>
  <c r="S119" i="4"/>
  <c r="H140" i="5"/>
  <c r="N140" i="4"/>
  <c r="K145" i="4"/>
  <c r="E145" i="5" s="1"/>
  <c r="I150" i="5"/>
  <c r="K150" i="4"/>
  <c r="E150" i="5" s="1"/>
  <c r="AF150" i="4"/>
  <c r="W150" i="5" s="1"/>
  <c r="AE150" i="4"/>
  <c r="V150" i="5" s="1"/>
  <c r="I155" i="5"/>
  <c r="K155" i="4"/>
  <c r="E155" i="5" s="1"/>
  <c r="AE155" i="4"/>
  <c r="V155" i="5" s="1"/>
  <c r="AF155" i="4"/>
  <c r="W155" i="5" s="1"/>
  <c r="J120" i="5"/>
  <c r="O120" i="4"/>
  <c r="S120" i="4"/>
  <c r="J133" i="5"/>
  <c r="O133" i="4"/>
  <c r="P133" i="4" s="1"/>
  <c r="AB133" i="4"/>
  <c r="U133" i="5" s="1"/>
  <c r="S133" i="4"/>
  <c r="I140" i="5"/>
  <c r="AF140" i="4"/>
  <c r="W140" i="5" s="1"/>
  <c r="AE140" i="4"/>
  <c r="V140" i="5" s="1"/>
  <c r="K140" i="4"/>
  <c r="E140" i="5" s="1"/>
  <c r="H157" i="5"/>
  <c r="N157" i="4"/>
  <c r="J38" i="4"/>
  <c r="Z68" i="4"/>
  <c r="T68" i="5" s="1"/>
  <c r="J95" i="5"/>
  <c r="S95" i="4"/>
  <c r="AB95" i="4"/>
  <c r="U95" i="5" s="1"/>
  <c r="P95" i="4"/>
  <c r="Z95" i="4"/>
  <c r="T95" i="5" s="1"/>
  <c r="O95" i="4"/>
  <c r="J139" i="5"/>
  <c r="O139" i="4"/>
  <c r="P139" i="4" s="1"/>
  <c r="S139" i="4"/>
  <c r="AB139" i="4"/>
  <c r="U139" i="5" s="1"/>
  <c r="J157" i="4"/>
  <c r="N6" i="4"/>
  <c r="J10" i="4"/>
  <c r="N14" i="4"/>
  <c r="J18" i="4"/>
  <c r="N22" i="4"/>
  <c r="J26" i="4"/>
  <c r="N30" i="4"/>
  <c r="AF36" i="4"/>
  <c r="W36" i="5" s="1"/>
  <c r="AF40" i="4"/>
  <c r="W40" i="5" s="1"/>
  <c r="AF44" i="4"/>
  <c r="W44" i="5" s="1"/>
  <c r="AF48" i="4"/>
  <c r="W48" i="5" s="1"/>
  <c r="H52" i="5"/>
  <c r="J53" i="4"/>
  <c r="H60" i="5"/>
  <c r="J61" i="4"/>
  <c r="O68" i="4"/>
  <c r="P68" i="4" s="1"/>
  <c r="H74" i="5"/>
  <c r="N74" i="4"/>
  <c r="J74" i="4"/>
  <c r="J75" i="5"/>
  <c r="S75" i="4"/>
  <c r="AB75" i="4"/>
  <c r="U75" i="5" s="1"/>
  <c r="Z75" i="4"/>
  <c r="T75" i="5" s="1"/>
  <c r="O75" i="4"/>
  <c r="P75" i="4" s="1"/>
  <c r="H85" i="5"/>
  <c r="J85" i="4"/>
  <c r="N85" i="4"/>
  <c r="H90" i="5"/>
  <c r="J90" i="4"/>
  <c r="H96" i="5"/>
  <c r="J96" i="4"/>
  <c r="N96" i="4"/>
  <c r="J102" i="5"/>
  <c r="S102" i="4"/>
  <c r="AB102" i="4"/>
  <c r="U102" i="5" s="1"/>
  <c r="P102" i="4"/>
  <c r="I108" i="5"/>
  <c r="AE108" i="4"/>
  <c r="V108" i="5" s="1"/>
  <c r="K108" i="4"/>
  <c r="E108" i="5" s="1"/>
  <c r="AF108" i="4"/>
  <c r="W108" i="5" s="1"/>
  <c r="H116" i="5"/>
  <c r="N116" i="4"/>
  <c r="H54" i="5"/>
  <c r="J34" i="4"/>
  <c r="J67" i="5"/>
  <c r="S67" i="4"/>
  <c r="Z67" i="4"/>
  <c r="T67" i="5" s="1"/>
  <c r="O67" i="4"/>
  <c r="P67" i="4" s="1"/>
  <c r="O76" i="4"/>
  <c r="P76" i="4" s="1"/>
  <c r="D9" i="2"/>
  <c r="D10" i="2" s="1"/>
  <c r="L5" i="4"/>
  <c r="J7" i="4"/>
  <c r="J15" i="4"/>
  <c r="J23" i="4"/>
  <c r="J31" i="4"/>
  <c r="J35" i="4"/>
  <c r="J39" i="4"/>
  <c r="J43" i="4"/>
  <c r="J47" i="4"/>
  <c r="Y50" i="4"/>
  <c r="Z50" i="4" s="1"/>
  <c r="T50" i="5" s="1"/>
  <c r="H51" i="5"/>
  <c r="J52" i="4"/>
  <c r="Y58" i="4"/>
  <c r="Z58" i="4" s="1"/>
  <c r="T58" i="5" s="1"/>
  <c r="H59" i="5"/>
  <c r="J60" i="4"/>
  <c r="H73" i="5"/>
  <c r="J73" i="4"/>
  <c r="H79" i="5"/>
  <c r="N79" i="4"/>
  <c r="J79" i="4"/>
  <c r="H87" i="5"/>
  <c r="J87" i="4"/>
  <c r="H93" i="5"/>
  <c r="J93" i="4"/>
  <c r="O102" i="4"/>
  <c r="I105" i="5"/>
  <c r="AJ105" i="4"/>
  <c r="AF105" i="4"/>
  <c r="W105" i="5" s="1"/>
  <c r="J116" i="4"/>
  <c r="S128" i="5"/>
  <c r="AG128" i="4"/>
  <c r="X128" i="5" s="1"/>
  <c r="J129" i="5"/>
  <c r="O129" i="4"/>
  <c r="P129" i="4" s="1"/>
  <c r="S129" i="4"/>
  <c r="AB129" i="4"/>
  <c r="U129" i="5" s="1"/>
  <c r="H131" i="5"/>
  <c r="J131" i="4"/>
  <c r="N131" i="4"/>
  <c r="I171" i="5"/>
  <c r="K171" i="4"/>
  <c r="E171" i="5" s="1"/>
  <c r="AF171" i="4"/>
  <c r="W171" i="5" s="1"/>
  <c r="AE171" i="4"/>
  <c r="V171" i="5" s="1"/>
  <c r="H62" i="5"/>
  <c r="J77" i="5"/>
  <c r="S77" i="4"/>
  <c r="Z77" i="4"/>
  <c r="T77" i="5" s="1"/>
  <c r="O77" i="4"/>
  <c r="P77" i="4"/>
  <c r="J84" i="5"/>
  <c r="S84" i="4"/>
  <c r="AB84" i="4"/>
  <c r="U84" i="5" s="1"/>
  <c r="P84" i="4"/>
  <c r="Z84" i="4"/>
  <c r="T84" i="5" s="1"/>
  <c r="O84" i="4"/>
  <c r="H98" i="5"/>
  <c r="J98" i="4"/>
  <c r="H104" i="5"/>
  <c r="J104" i="4"/>
  <c r="N104" i="4"/>
  <c r="S105" i="5"/>
  <c r="AG105" i="4"/>
  <c r="X105" i="5" s="1"/>
  <c r="H107" i="5"/>
  <c r="J107" i="4"/>
  <c r="N107" i="4"/>
  <c r="J46" i="4"/>
  <c r="J62" i="4"/>
  <c r="AB67" i="4"/>
  <c r="U67" i="5" s="1"/>
  <c r="H101" i="5"/>
  <c r="J101" i="4"/>
  <c r="P120" i="4"/>
  <c r="H125" i="5"/>
  <c r="J125" i="4"/>
  <c r="N125" i="4"/>
  <c r="S127" i="5"/>
  <c r="AG127" i="4"/>
  <c r="X127" i="5" s="1"/>
  <c r="C71" i="1"/>
  <c r="G25" i="3" s="1"/>
  <c r="J4" i="4"/>
  <c r="AE9" i="4"/>
  <c r="V9" i="5" s="1"/>
  <c r="J12" i="4"/>
  <c r="AE17" i="4"/>
  <c r="V17" i="5" s="1"/>
  <c r="J20" i="4"/>
  <c r="AE25" i="4"/>
  <c r="V25" i="5" s="1"/>
  <c r="J28" i="4"/>
  <c r="AF33" i="4"/>
  <c r="W33" i="5" s="1"/>
  <c r="N34" i="4"/>
  <c r="N38" i="4"/>
  <c r="N42" i="4"/>
  <c r="N46" i="4"/>
  <c r="H48" i="5"/>
  <c r="Y49" i="4"/>
  <c r="Z49" i="4" s="1"/>
  <c r="T49" i="5" s="1"/>
  <c r="H50" i="5"/>
  <c r="J51" i="4"/>
  <c r="N54" i="4"/>
  <c r="Y57" i="4"/>
  <c r="Z57" i="4" s="1"/>
  <c r="T57" i="5" s="1"/>
  <c r="H58" i="5"/>
  <c r="J59" i="4"/>
  <c r="N62" i="4"/>
  <c r="H77" i="5"/>
  <c r="J80" i="5"/>
  <c r="S80" i="4"/>
  <c r="AB80" i="4"/>
  <c r="U80" i="5" s="1"/>
  <c r="P80" i="4"/>
  <c r="Z80" i="4"/>
  <c r="T80" i="5" s="1"/>
  <c r="O80" i="4"/>
  <c r="J88" i="5"/>
  <c r="S88" i="4"/>
  <c r="AB88" i="4"/>
  <c r="U88" i="5" s="1"/>
  <c r="P88" i="4"/>
  <c r="Z88" i="4"/>
  <c r="T88" i="5" s="1"/>
  <c r="O88" i="4"/>
  <c r="J94" i="5"/>
  <c r="S94" i="4"/>
  <c r="AB94" i="4"/>
  <c r="U94" i="5" s="1"/>
  <c r="P94" i="4"/>
  <c r="H97" i="5"/>
  <c r="J97" i="4"/>
  <c r="N97" i="4"/>
  <c r="N101" i="4"/>
  <c r="K105" i="4"/>
  <c r="E105" i="5" s="1"/>
  <c r="H109" i="5"/>
  <c r="N109" i="4"/>
  <c r="J109" i="4"/>
  <c r="I117" i="5"/>
  <c r="K117" i="4"/>
  <c r="E117" i="5" s="1"/>
  <c r="AE117" i="4"/>
  <c r="V117" i="5" s="1"/>
  <c r="AF117" i="4"/>
  <c r="W117" i="5" s="1"/>
  <c r="J127" i="5"/>
  <c r="O127" i="4"/>
  <c r="P127" i="4" s="1"/>
  <c r="Z127" i="4"/>
  <c r="T127" i="5" s="1"/>
  <c r="AB127" i="4"/>
  <c r="U127" i="5" s="1"/>
  <c r="AH127" i="4"/>
  <c r="J135" i="5"/>
  <c r="O135" i="4"/>
  <c r="P135" i="4" s="1"/>
  <c r="AB135" i="4"/>
  <c r="U135" i="5" s="1"/>
  <c r="S135" i="4"/>
  <c r="H137" i="5"/>
  <c r="J137" i="4"/>
  <c r="N137" i="4"/>
  <c r="I70" i="5"/>
  <c r="AE70" i="4"/>
  <c r="V70" i="5" s="1"/>
  <c r="K70" i="4"/>
  <c r="E70" i="5" s="1"/>
  <c r="N71" i="4"/>
  <c r="I78" i="5"/>
  <c r="AE78" i="4"/>
  <c r="V78" i="5" s="1"/>
  <c r="K78" i="4"/>
  <c r="E78" i="5" s="1"/>
  <c r="I80" i="5"/>
  <c r="AE80" i="4"/>
  <c r="V80" i="5" s="1"/>
  <c r="K80" i="4"/>
  <c r="E80" i="5" s="1"/>
  <c r="H84" i="5"/>
  <c r="J84" i="4"/>
  <c r="H88" i="5"/>
  <c r="J88" i="4"/>
  <c r="J92" i="5"/>
  <c r="S92" i="4"/>
  <c r="AB92" i="4"/>
  <c r="U92" i="5" s="1"/>
  <c r="H95" i="5"/>
  <c r="J95" i="4"/>
  <c r="J100" i="5"/>
  <c r="S100" i="4"/>
  <c r="AB100" i="4"/>
  <c r="U100" i="5" s="1"/>
  <c r="H103" i="5"/>
  <c r="J103" i="4"/>
  <c r="J105" i="5"/>
  <c r="AH105" i="4"/>
  <c r="AB105" i="4"/>
  <c r="U105" i="5" s="1"/>
  <c r="O105" i="4"/>
  <c r="P105" i="4" s="1"/>
  <c r="J112" i="5"/>
  <c r="O112" i="4"/>
  <c r="P112" i="4" s="1"/>
  <c r="AB112" i="4"/>
  <c r="U112" i="5" s="1"/>
  <c r="S112" i="4"/>
  <c r="I136" i="5"/>
  <c r="AE136" i="4"/>
  <c r="V136" i="5" s="1"/>
  <c r="AF136" i="4"/>
  <c r="W136" i="5" s="1"/>
  <c r="K136" i="4"/>
  <c r="E136" i="5" s="1"/>
  <c r="Y140" i="4"/>
  <c r="J143" i="5"/>
  <c r="O143" i="4"/>
  <c r="P143" i="4" s="1"/>
  <c r="S143" i="4"/>
  <c r="AB143" i="4"/>
  <c r="U143" i="5" s="1"/>
  <c r="J144" i="5"/>
  <c r="O144" i="4"/>
  <c r="P144" i="4" s="1"/>
  <c r="AB144" i="4"/>
  <c r="U144" i="5" s="1"/>
  <c r="S144" i="4"/>
  <c r="Z144" i="4"/>
  <c r="T144" i="5" s="1"/>
  <c r="H145" i="5"/>
  <c r="N145" i="4"/>
  <c r="I152" i="5"/>
  <c r="AE152" i="4"/>
  <c r="V152" i="5" s="1"/>
  <c r="I160" i="5"/>
  <c r="K160" i="4"/>
  <c r="E160" i="5" s="1"/>
  <c r="AE160" i="4"/>
  <c r="V160" i="5" s="1"/>
  <c r="AF160" i="4"/>
  <c r="W160" i="5" s="1"/>
  <c r="H180" i="5"/>
  <c r="N180" i="4"/>
  <c r="J180" i="4"/>
  <c r="H158" i="5"/>
  <c r="N158" i="4"/>
  <c r="J158" i="4"/>
  <c r="I169" i="5"/>
  <c r="AF169" i="4"/>
  <c r="W169" i="5" s="1"/>
  <c r="AE169" i="4"/>
  <c r="V169" i="5" s="1"/>
  <c r="K169" i="4"/>
  <c r="E169" i="5" s="1"/>
  <c r="H82" i="5"/>
  <c r="J82" i="4"/>
  <c r="H86" i="5"/>
  <c r="J86" i="4"/>
  <c r="H91" i="5"/>
  <c r="J91" i="4"/>
  <c r="H99" i="5"/>
  <c r="J99" i="4"/>
  <c r="H114" i="5"/>
  <c r="J114" i="4"/>
  <c r="H123" i="5"/>
  <c r="J123" i="4"/>
  <c r="N123" i="4"/>
  <c r="I132" i="5"/>
  <c r="K132" i="4"/>
  <c r="E132" i="5" s="1"/>
  <c r="AF132" i="4"/>
  <c r="W132" i="5" s="1"/>
  <c r="S136" i="5"/>
  <c r="AG136" i="4"/>
  <c r="H141" i="5"/>
  <c r="N141" i="4"/>
  <c r="J71" i="4"/>
  <c r="H92" i="5"/>
  <c r="J92" i="4"/>
  <c r="H100" i="5"/>
  <c r="J100" i="4"/>
  <c r="H108" i="5"/>
  <c r="N108" i="4"/>
  <c r="J113" i="5"/>
  <c r="O113" i="4"/>
  <c r="P113" i="4" s="1"/>
  <c r="Z113" i="4"/>
  <c r="T113" i="5" s="1"/>
  <c r="S113" i="4"/>
  <c r="H117" i="5"/>
  <c r="N117" i="4"/>
  <c r="I128" i="5"/>
  <c r="AE128" i="4"/>
  <c r="V128" i="5" s="1"/>
  <c r="AJ128" i="4"/>
  <c r="K128" i="4"/>
  <c r="E128" i="5" s="1"/>
  <c r="AF128" i="4"/>
  <c r="W128" i="5" s="1"/>
  <c r="J141" i="4"/>
  <c r="J148" i="5"/>
  <c r="O148" i="4"/>
  <c r="P148" i="4" s="1"/>
  <c r="AB148" i="4"/>
  <c r="U148" i="5" s="1"/>
  <c r="S148" i="4"/>
  <c r="H150" i="5"/>
  <c r="N150" i="4"/>
  <c r="Y154" i="4"/>
  <c r="H174" i="5"/>
  <c r="N174" i="4"/>
  <c r="J174" i="4"/>
  <c r="AF70" i="4"/>
  <c r="W70" i="5" s="1"/>
  <c r="AF78" i="4"/>
  <c r="W78" i="5" s="1"/>
  <c r="N82" i="4"/>
  <c r="N86" i="4"/>
  <c r="N91" i="4"/>
  <c r="H94" i="5"/>
  <c r="J94" i="4"/>
  <c r="N99" i="4"/>
  <c r="H102" i="5"/>
  <c r="J102" i="4"/>
  <c r="Y105" i="4"/>
  <c r="Z105" i="4" s="1"/>
  <c r="T105" i="5" s="1"/>
  <c r="Y107" i="4"/>
  <c r="H110" i="5"/>
  <c r="N110" i="4"/>
  <c r="J110" i="4"/>
  <c r="N114" i="4"/>
  <c r="Y127" i="4"/>
  <c r="I129" i="5"/>
  <c r="AF129" i="4"/>
  <c r="W129" i="5" s="1"/>
  <c r="AE129" i="4"/>
  <c r="V129" i="5" s="1"/>
  <c r="K129" i="4"/>
  <c r="E129" i="5" s="1"/>
  <c r="Y131" i="4"/>
  <c r="H152" i="5"/>
  <c r="N152" i="4"/>
  <c r="H160" i="5"/>
  <c r="N160" i="4"/>
  <c r="H179" i="5"/>
  <c r="N179" i="4"/>
  <c r="J179" i="4"/>
  <c r="J115" i="5"/>
  <c r="O115" i="4"/>
  <c r="P115" i="4" s="1"/>
  <c r="S115" i="4"/>
  <c r="I119" i="5"/>
  <c r="AE119" i="4"/>
  <c r="V119" i="5" s="1"/>
  <c r="Y120" i="4"/>
  <c r="Z120" i="4" s="1"/>
  <c r="T120" i="5" s="1"/>
  <c r="J128" i="5"/>
  <c r="O128" i="4"/>
  <c r="P128" i="4" s="1"/>
  <c r="AH128" i="4"/>
  <c r="J146" i="5"/>
  <c r="O146" i="4"/>
  <c r="P146" i="4" s="1"/>
  <c r="S146" i="4"/>
  <c r="AB146" i="4"/>
  <c r="U146" i="5" s="1"/>
  <c r="J147" i="5"/>
  <c r="O147" i="4"/>
  <c r="P147" i="4" s="1"/>
  <c r="S147" i="4"/>
  <c r="H149" i="5"/>
  <c r="N149" i="4"/>
  <c r="I154" i="5"/>
  <c r="AF154" i="4"/>
  <c r="W154" i="5" s="1"/>
  <c r="K154" i="4"/>
  <c r="E154" i="5" s="1"/>
  <c r="AE154" i="4"/>
  <c r="V154" i="5" s="1"/>
  <c r="I181" i="5"/>
  <c r="K181" i="4"/>
  <c r="E181" i="5" s="1"/>
  <c r="AF181" i="4"/>
  <c r="W181" i="5" s="1"/>
  <c r="AE181" i="4"/>
  <c r="V181" i="5" s="1"/>
  <c r="I183" i="5"/>
  <c r="AE183" i="4"/>
  <c r="V183" i="5" s="1"/>
  <c r="AF183" i="4"/>
  <c r="W183" i="5" s="1"/>
  <c r="H191" i="5"/>
  <c r="N191" i="4"/>
  <c r="AB115" i="4"/>
  <c r="U115" i="5" s="1"/>
  <c r="H118" i="5"/>
  <c r="N118" i="4"/>
  <c r="K119" i="4"/>
  <c r="E119" i="5" s="1"/>
  <c r="I121" i="5"/>
  <c r="AF121" i="4"/>
  <c r="W121" i="5" s="1"/>
  <c r="AB128" i="4"/>
  <c r="U128" i="5" s="1"/>
  <c r="AB147" i="4"/>
  <c r="U147" i="5" s="1"/>
  <c r="J149" i="4"/>
  <c r="H151" i="5"/>
  <c r="N151" i="4"/>
  <c r="J151" i="4"/>
  <c r="H156" i="5"/>
  <c r="N156" i="4"/>
  <c r="H159" i="5"/>
  <c r="N159" i="4"/>
  <c r="J159" i="4"/>
  <c r="H175" i="5"/>
  <c r="N175" i="4"/>
  <c r="J175" i="4"/>
  <c r="K183" i="4"/>
  <c r="E183" i="5" s="1"/>
  <c r="H188" i="5"/>
  <c r="N188" i="4"/>
  <c r="J188" i="4"/>
  <c r="J191" i="4"/>
  <c r="I112" i="5"/>
  <c r="AE112" i="4"/>
  <c r="V112" i="5" s="1"/>
  <c r="Y112" i="4"/>
  <c r="Z112" i="4" s="1"/>
  <c r="T112" i="5" s="1"/>
  <c r="H113" i="5"/>
  <c r="I118" i="5"/>
  <c r="K118" i="4"/>
  <c r="E118" i="5" s="1"/>
  <c r="AF118" i="4"/>
  <c r="W118" i="5" s="1"/>
  <c r="J124" i="5"/>
  <c r="O124" i="4"/>
  <c r="P124" i="4" s="1"/>
  <c r="AB124" i="4"/>
  <c r="U124" i="5" s="1"/>
  <c r="S124" i="4"/>
  <c r="I126" i="5"/>
  <c r="K126" i="4"/>
  <c r="E126" i="5" s="1"/>
  <c r="AF126" i="4"/>
  <c r="W126" i="5" s="1"/>
  <c r="AE126" i="4"/>
  <c r="V126" i="5" s="1"/>
  <c r="H130" i="5"/>
  <c r="J130" i="4"/>
  <c r="N130" i="4"/>
  <c r="I134" i="5"/>
  <c r="K134" i="4"/>
  <c r="E134" i="5" s="1"/>
  <c r="J136" i="5"/>
  <c r="O136" i="4"/>
  <c r="P136" i="4" s="1"/>
  <c r="AH136" i="4"/>
  <c r="Z136" i="4"/>
  <c r="T136" i="5" s="1"/>
  <c r="AB136" i="4"/>
  <c r="U136" i="5" s="1"/>
  <c r="H142" i="5"/>
  <c r="N142" i="4"/>
  <c r="J142" i="4"/>
  <c r="I153" i="5"/>
  <c r="AF153" i="4"/>
  <c r="W153" i="5" s="1"/>
  <c r="AE153" i="4"/>
  <c r="V153" i="5" s="1"/>
  <c r="J156" i="4"/>
  <c r="I194" i="5"/>
  <c r="K194" i="4"/>
  <c r="E194" i="5" s="1"/>
  <c r="AF194" i="4"/>
  <c r="W194" i="5" s="1"/>
  <c r="AE194" i="4"/>
  <c r="V194" i="5" s="1"/>
  <c r="K112" i="4"/>
  <c r="E112" i="5" s="1"/>
  <c r="J113" i="4"/>
  <c r="Y113" i="4"/>
  <c r="AF119" i="4"/>
  <c r="W119" i="5" s="1"/>
  <c r="Y129" i="4"/>
  <c r="Z129" i="4" s="1"/>
  <c r="T129" i="5" s="1"/>
  <c r="H132" i="5"/>
  <c r="N132" i="4"/>
  <c r="H138" i="5"/>
  <c r="J138" i="4"/>
  <c r="H148" i="5"/>
  <c r="J148" i="4"/>
  <c r="K153" i="4"/>
  <c r="E153" i="5" s="1"/>
  <c r="H155" i="5"/>
  <c r="N155" i="4"/>
  <c r="H176" i="5"/>
  <c r="N176" i="4"/>
  <c r="J176" i="4"/>
  <c r="I189" i="5"/>
  <c r="K189" i="4"/>
  <c r="E189" i="5" s="1"/>
  <c r="AF189" i="4"/>
  <c r="W189" i="5" s="1"/>
  <c r="AE189" i="4"/>
  <c r="V189" i="5" s="1"/>
  <c r="H121" i="5"/>
  <c r="H126" i="5"/>
  <c r="N126" i="4"/>
  <c r="Y130" i="4"/>
  <c r="I135" i="5"/>
  <c r="AE135" i="4"/>
  <c r="V135" i="5" s="1"/>
  <c r="Y135" i="4"/>
  <c r="Z135" i="4" s="1"/>
  <c r="T135" i="5" s="1"/>
  <c r="H139" i="5"/>
  <c r="J139" i="4"/>
  <c r="Y139" i="4"/>
  <c r="Z139" i="4" s="1"/>
  <c r="T139" i="5" s="1"/>
  <c r="I144" i="5"/>
  <c r="AE144" i="4"/>
  <c r="V144" i="5" s="1"/>
  <c r="Y148" i="4"/>
  <c r="Z148" i="4" s="1"/>
  <c r="T148" i="5" s="1"/>
  <c r="I177" i="5"/>
  <c r="AF177" i="4"/>
  <c r="W177" i="5" s="1"/>
  <c r="H183" i="5"/>
  <c r="N183" i="4"/>
  <c r="H172" i="5"/>
  <c r="N172" i="4"/>
  <c r="I185" i="5"/>
  <c r="K185" i="4"/>
  <c r="E185" i="5" s="1"/>
  <c r="AF185" i="4"/>
  <c r="W185" i="5" s="1"/>
  <c r="AE185" i="4"/>
  <c r="V185" i="5" s="1"/>
  <c r="H124" i="5"/>
  <c r="Y128" i="4"/>
  <c r="Z128" i="4" s="1"/>
  <c r="T128" i="5" s="1"/>
  <c r="H133" i="5"/>
  <c r="Y137" i="4"/>
  <c r="H146" i="5"/>
  <c r="J146" i="4"/>
  <c r="I161" i="5"/>
  <c r="AF161" i="4"/>
  <c r="W161" i="5" s="1"/>
  <c r="H163" i="5"/>
  <c r="N163" i="4"/>
  <c r="H164" i="5"/>
  <c r="N164" i="4"/>
  <c r="H165" i="5"/>
  <c r="N165" i="4"/>
  <c r="H168" i="5"/>
  <c r="N168" i="4"/>
  <c r="J172" i="4"/>
  <c r="I173" i="5"/>
  <c r="AE173" i="4"/>
  <c r="V173" i="5" s="1"/>
  <c r="AF173" i="4"/>
  <c r="W173" i="5" s="1"/>
  <c r="H187" i="5"/>
  <c r="N187" i="4"/>
  <c r="Y106" i="4"/>
  <c r="I111" i="5"/>
  <c r="AE111" i="4"/>
  <c r="V111" i="5" s="1"/>
  <c r="Y111" i="4"/>
  <c r="Z111" i="4" s="1"/>
  <c r="T111" i="5" s="1"/>
  <c r="H115" i="5"/>
  <c r="J115" i="4"/>
  <c r="Y115" i="4"/>
  <c r="Z115" i="4" s="1"/>
  <c r="T115" i="5" s="1"/>
  <c r="I120" i="5"/>
  <c r="AE120" i="4"/>
  <c r="V120" i="5" s="1"/>
  <c r="J124" i="4"/>
  <c r="Y124" i="4"/>
  <c r="Z124" i="4" s="1"/>
  <c r="T124" i="5" s="1"/>
  <c r="H129" i="5"/>
  <c r="J133" i="4"/>
  <c r="H134" i="5"/>
  <c r="N134" i="4"/>
  <c r="Y138" i="4"/>
  <c r="Z138" i="4" s="1"/>
  <c r="T138" i="5" s="1"/>
  <c r="I143" i="5"/>
  <c r="AE143" i="4"/>
  <c r="V143" i="5" s="1"/>
  <c r="Y143" i="4"/>
  <c r="Z143" i="4" s="1"/>
  <c r="T143" i="5" s="1"/>
  <c r="H147" i="5"/>
  <c r="J147" i="4"/>
  <c r="Y147" i="4"/>
  <c r="Z147" i="4" s="1"/>
  <c r="T147" i="5" s="1"/>
  <c r="K161" i="4"/>
  <c r="E161" i="5" s="1"/>
  <c r="I162" i="5"/>
  <c r="AF162" i="4"/>
  <c r="W162" i="5" s="1"/>
  <c r="J163" i="4"/>
  <c r="J164" i="4"/>
  <c r="J165" i="4"/>
  <c r="Y165" i="4"/>
  <c r="H166" i="5"/>
  <c r="N166" i="4"/>
  <c r="J166" i="4"/>
  <c r="H167" i="5"/>
  <c r="N167" i="4"/>
  <c r="J167" i="4"/>
  <c r="J168" i="4"/>
  <c r="Y169" i="4"/>
  <c r="H171" i="5"/>
  <c r="N171" i="4"/>
  <c r="K173" i="4"/>
  <c r="E173" i="5" s="1"/>
  <c r="H184" i="5"/>
  <c r="N184" i="4"/>
  <c r="J184" i="4"/>
  <c r="J187" i="4"/>
  <c r="Y170" i="4"/>
  <c r="H173" i="5"/>
  <c r="N173" i="4"/>
  <c r="Y178" i="4"/>
  <c r="AF198" i="4"/>
  <c r="W198" i="5" s="1"/>
  <c r="AE199" i="4"/>
  <c r="V199" i="5" s="1"/>
  <c r="AF199" i="4"/>
  <c r="W199" i="5" s="1"/>
  <c r="AE200" i="4"/>
  <c r="V200" i="5" s="1"/>
  <c r="L4" i="5"/>
  <c r="K14" i="5"/>
  <c r="K27" i="5"/>
  <c r="AF200" i="4"/>
  <c r="W200" i="5" s="1"/>
  <c r="AE201" i="4"/>
  <c r="V201" i="5" s="1"/>
  <c r="L14" i="5"/>
  <c r="AF193" i="4"/>
  <c r="W193" i="5" s="1"/>
  <c r="K198" i="4"/>
  <c r="E198" i="5" s="1"/>
  <c r="AF201" i="4"/>
  <c r="W201" i="5" s="1"/>
  <c r="AE202" i="4"/>
  <c r="V202" i="5" s="1"/>
  <c r="N47" i="5"/>
  <c r="M47" i="5"/>
  <c r="L47" i="5"/>
  <c r="K47" i="5"/>
  <c r="P47" i="5"/>
  <c r="O47" i="5"/>
  <c r="N48" i="5"/>
  <c r="M48" i="5"/>
  <c r="L48" i="5"/>
  <c r="O48" i="5"/>
  <c r="P48" i="5"/>
  <c r="Y110" i="4"/>
  <c r="H112" i="5"/>
  <c r="Y118" i="4"/>
  <c r="H120" i="5"/>
  <c r="Y126" i="4"/>
  <c r="H128" i="5"/>
  <c r="AI128" i="4"/>
  <c r="Y134" i="4"/>
  <c r="H136" i="5"/>
  <c r="Y142" i="4"/>
  <c r="H144" i="5"/>
  <c r="Y150" i="4"/>
  <c r="H153" i="5"/>
  <c r="N153" i="4"/>
  <c r="Y158" i="4"/>
  <c r="H161" i="5"/>
  <c r="N161" i="4"/>
  <c r="Y166" i="4"/>
  <c r="H169" i="5"/>
  <c r="N169" i="4"/>
  <c r="Y174" i="4"/>
  <c r="H177" i="5"/>
  <c r="N177" i="4"/>
  <c r="AE195" i="4"/>
  <c r="V195" i="5" s="1"/>
  <c r="AF202" i="4"/>
  <c r="W202" i="5" s="1"/>
  <c r="O14" i="5"/>
  <c r="N14" i="5"/>
  <c r="M14" i="5"/>
  <c r="P15" i="5"/>
  <c r="M15" i="5"/>
  <c r="O15" i="5"/>
  <c r="N15" i="5"/>
  <c r="L15" i="5"/>
  <c r="N27" i="5"/>
  <c r="M27" i="5"/>
  <c r="L27" i="5"/>
  <c r="P28" i="5"/>
  <c r="O28" i="5"/>
  <c r="L28" i="5"/>
  <c r="M28" i="5"/>
  <c r="K28" i="5"/>
  <c r="H181" i="5"/>
  <c r="N181" i="4"/>
  <c r="H185" i="5"/>
  <c r="N185" i="4"/>
  <c r="H189" i="5"/>
  <c r="N189" i="4"/>
  <c r="P23" i="5"/>
  <c r="M23" i="5"/>
  <c r="K23" i="5"/>
  <c r="N23" i="5"/>
  <c r="O30" i="5"/>
  <c r="N30" i="5"/>
  <c r="M30" i="5"/>
  <c r="L30" i="5"/>
  <c r="H105" i="5"/>
  <c r="AI105" i="4"/>
  <c r="Y109" i="4"/>
  <c r="H111" i="5"/>
  <c r="Y117" i="4"/>
  <c r="H119" i="5"/>
  <c r="Y125" i="4"/>
  <c r="H127" i="5"/>
  <c r="AI127" i="4"/>
  <c r="Y133" i="4"/>
  <c r="Z133" i="4" s="1"/>
  <c r="T133" i="5" s="1"/>
  <c r="H135" i="5"/>
  <c r="Y141" i="4"/>
  <c r="H143" i="5"/>
  <c r="Y149" i="4"/>
  <c r="Y151" i="4"/>
  <c r="H154" i="5"/>
  <c r="N154" i="4"/>
  <c r="Y159" i="4"/>
  <c r="H162" i="5"/>
  <c r="N162" i="4"/>
  <c r="Y167" i="4"/>
  <c r="H170" i="5"/>
  <c r="N170" i="4"/>
  <c r="AF170" i="4"/>
  <c r="W170" i="5" s="1"/>
  <c r="Y175" i="4"/>
  <c r="H178" i="5"/>
  <c r="N178" i="4"/>
  <c r="AF178" i="4"/>
  <c r="W178" i="5" s="1"/>
  <c r="H182" i="5"/>
  <c r="N182" i="4"/>
  <c r="AF182" i="4"/>
  <c r="W182" i="5" s="1"/>
  <c r="H186" i="5"/>
  <c r="N186" i="4"/>
  <c r="AF186" i="4"/>
  <c r="W186" i="5" s="1"/>
  <c r="H190" i="5"/>
  <c r="N190" i="4"/>
  <c r="AF190" i="4"/>
  <c r="W190" i="5" s="1"/>
  <c r="AF197" i="4"/>
  <c r="W197" i="5" s="1"/>
  <c r="AE198" i="4"/>
  <c r="V198" i="5" s="1"/>
  <c r="K202" i="4"/>
  <c r="E202" i="5" s="1"/>
  <c r="P12" i="5"/>
  <c r="O12" i="5"/>
  <c r="L12" i="5"/>
  <c r="M12" i="5"/>
  <c r="O34" i="5"/>
  <c r="N34" i="5"/>
  <c r="M34" i="5"/>
  <c r="K34" i="5"/>
  <c r="P34" i="5"/>
  <c r="K48" i="5"/>
  <c r="N19" i="5"/>
  <c r="M19" i="5"/>
  <c r="L19" i="5"/>
  <c r="P19" i="5"/>
  <c r="N51" i="5"/>
  <c r="M51" i="5"/>
  <c r="L51" i="5"/>
  <c r="O51" i="5"/>
  <c r="K51" i="5"/>
  <c r="P7" i="5"/>
  <c r="M7" i="5"/>
  <c r="P20" i="5"/>
  <c r="O20" i="5"/>
  <c r="L20" i="5"/>
  <c r="N20" i="5"/>
  <c r="K22" i="5"/>
  <c r="N192" i="4"/>
  <c r="N193" i="4"/>
  <c r="N194" i="4"/>
  <c r="N195" i="4"/>
  <c r="N196" i="4"/>
  <c r="N197" i="4"/>
  <c r="N198" i="4"/>
  <c r="N199" i="4"/>
  <c r="N200" i="4"/>
  <c r="N201" i="4"/>
  <c r="N202" i="4"/>
  <c r="N203" i="4"/>
  <c r="N11" i="5"/>
  <c r="M11" i="5"/>
  <c r="L11" i="5"/>
  <c r="P11" i="5"/>
  <c r="P31" i="5"/>
  <c r="M31" i="5"/>
  <c r="N33" i="5"/>
  <c r="P33" i="5"/>
  <c r="L33" i="5"/>
  <c r="O33" i="5"/>
  <c r="P41" i="5"/>
  <c r="N41" i="5"/>
  <c r="L41" i="5"/>
  <c r="K41" i="5"/>
  <c r="P51" i="5"/>
  <c r="K19" i="5"/>
  <c r="O22" i="5"/>
  <c r="N22" i="5"/>
  <c r="M22" i="5"/>
  <c r="P22" i="5"/>
  <c r="O36" i="5"/>
  <c r="L36" i="5"/>
  <c r="K36" i="5"/>
  <c r="P36" i="5"/>
  <c r="N50" i="5"/>
  <c r="M50" i="5"/>
  <c r="L50" i="5"/>
  <c r="K50" i="5"/>
  <c r="K9" i="5"/>
  <c r="K17" i="5"/>
  <c r="K25" i="5"/>
  <c r="N49" i="5"/>
  <c r="M49" i="5"/>
  <c r="L49" i="5"/>
  <c r="P49" i="5"/>
  <c r="L55" i="5"/>
  <c r="P55" i="5"/>
  <c r="O55" i="5"/>
  <c r="M55" i="5"/>
  <c r="N55" i="5"/>
  <c r="K8" i="5"/>
  <c r="N9" i="5"/>
  <c r="K16" i="5"/>
  <c r="N17" i="5"/>
  <c r="K24" i="5"/>
  <c r="N25" i="5"/>
  <c r="K32" i="5"/>
  <c r="P38" i="5"/>
  <c r="O38" i="5"/>
  <c r="M38" i="5"/>
  <c r="N38" i="5"/>
  <c r="P43" i="5"/>
  <c r="O43" i="5"/>
  <c r="N43" i="5"/>
  <c r="L43" i="5"/>
  <c r="M43" i="5"/>
  <c r="N46" i="5"/>
  <c r="M46" i="5"/>
  <c r="L46" i="5"/>
  <c r="P46" i="5"/>
  <c r="L54" i="5"/>
  <c r="O54" i="5"/>
  <c r="N54" i="5"/>
  <c r="M54" i="5"/>
  <c r="L8" i="5"/>
  <c r="O9" i="5"/>
  <c r="K13" i="5"/>
  <c r="L16" i="5"/>
  <c r="O17" i="5"/>
  <c r="K21" i="5"/>
  <c r="L24" i="5"/>
  <c r="O25" i="5"/>
  <c r="K29" i="5"/>
  <c r="N45" i="5"/>
  <c r="M45" i="5"/>
  <c r="L45" i="5"/>
  <c r="P45" i="5"/>
  <c r="N53" i="5"/>
  <c r="M53" i="5"/>
  <c r="L53" i="5"/>
  <c r="P53" i="5"/>
  <c r="O35" i="5"/>
  <c r="L35" i="5"/>
  <c r="K35" i="5"/>
  <c r="M37" i="5"/>
  <c r="L37" i="5"/>
  <c r="O37" i="5"/>
  <c r="N52" i="5"/>
  <c r="M52" i="5"/>
  <c r="L52" i="5"/>
  <c r="P52" i="5"/>
  <c r="P39" i="5"/>
  <c r="O44" i="5"/>
  <c r="P196" i="5"/>
  <c r="O196" i="5"/>
  <c r="N196" i="5"/>
  <c r="L196" i="5"/>
  <c r="M196" i="5"/>
  <c r="K196" i="5"/>
  <c r="K42" i="5"/>
  <c r="M160" i="5"/>
  <c r="P160" i="5"/>
  <c r="O160" i="5"/>
  <c r="N160" i="5"/>
  <c r="K160" i="5"/>
  <c r="L160" i="5"/>
  <c r="P185" i="5"/>
  <c r="O185" i="5"/>
  <c r="L185" i="5"/>
  <c r="N185" i="5"/>
  <c r="M185" i="5"/>
  <c r="K185" i="5"/>
  <c r="P183" i="5"/>
  <c r="O183" i="5"/>
  <c r="L183" i="5"/>
  <c r="M183" i="5"/>
  <c r="N183" i="5"/>
  <c r="K183" i="5"/>
  <c r="P179" i="5"/>
  <c r="O179" i="5"/>
  <c r="L179" i="5"/>
  <c r="M179" i="5"/>
  <c r="K179" i="5"/>
  <c r="N179" i="5"/>
  <c r="P182" i="5"/>
  <c r="O182" i="5"/>
  <c r="L182" i="5"/>
  <c r="K182" i="5"/>
  <c r="N182" i="5"/>
  <c r="M182" i="5"/>
  <c r="P178" i="5"/>
  <c r="O178" i="5"/>
  <c r="L178" i="5"/>
  <c r="M178" i="5"/>
  <c r="N178" i="5"/>
  <c r="K178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97" i="5"/>
  <c r="O98" i="5"/>
  <c r="O99" i="5"/>
  <c r="O100" i="5"/>
  <c r="O101" i="5"/>
  <c r="O102" i="5"/>
  <c r="O103" i="5"/>
  <c r="O104" i="5"/>
  <c r="M166" i="5"/>
  <c r="P166" i="5"/>
  <c r="K166" i="5"/>
  <c r="O166" i="5"/>
  <c r="N166" i="5"/>
  <c r="L166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M171" i="5"/>
  <c r="P171" i="5"/>
  <c r="O171" i="5"/>
  <c r="N171" i="5"/>
  <c r="L171" i="5"/>
  <c r="K171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97" i="5"/>
  <c r="L98" i="5"/>
  <c r="L99" i="5"/>
  <c r="L100" i="5"/>
  <c r="L101" i="5"/>
  <c r="L102" i="5"/>
  <c r="L103" i="5"/>
  <c r="L104" i="5"/>
  <c r="L105" i="5"/>
  <c r="L106" i="5"/>
  <c r="L107" i="5"/>
  <c r="M168" i="5"/>
  <c r="P168" i="5"/>
  <c r="O168" i="5"/>
  <c r="N168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M174" i="5"/>
  <c r="P174" i="5"/>
  <c r="K174" i="5"/>
  <c r="P186" i="5"/>
  <c r="O186" i="5"/>
  <c r="L186" i="5"/>
  <c r="K186" i="5"/>
  <c r="N186" i="5"/>
  <c r="P195" i="5"/>
  <c r="O195" i="5"/>
  <c r="N195" i="5"/>
  <c r="L195" i="5"/>
  <c r="K195" i="5"/>
  <c r="P203" i="5"/>
  <c r="O203" i="5"/>
  <c r="N203" i="5"/>
  <c r="M203" i="5"/>
  <c r="L203" i="5"/>
  <c r="K203" i="5"/>
  <c r="K108" i="5"/>
  <c r="K109" i="5"/>
  <c r="K110" i="5"/>
  <c r="K111" i="5"/>
  <c r="K112" i="5"/>
  <c r="K113" i="5"/>
  <c r="K114" i="5"/>
  <c r="K115" i="5"/>
  <c r="K116" i="5"/>
  <c r="K117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L141" i="5"/>
  <c r="M164" i="5"/>
  <c r="K164" i="5"/>
  <c r="N164" i="5"/>
  <c r="M186" i="5"/>
  <c r="P201" i="5"/>
  <c r="O201" i="5"/>
  <c r="N201" i="5"/>
  <c r="L201" i="5"/>
  <c r="K201" i="5"/>
  <c r="M201" i="5"/>
  <c r="L114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8" i="5"/>
  <c r="L139" i="5"/>
  <c r="L140" i="5"/>
  <c r="M141" i="5"/>
  <c r="M172" i="5"/>
  <c r="K172" i="5"/>
  <c r="N172" i="5"/>
  <c r="L174" i="5"/>
  <c r="P189" i="5"/>
  <c r="O189" i="5"/>
  <c r="L189" i="5"/>
  <c r="M189" i="5"/>
  <c r="M158" i="5"/>
  <c r="P158" i="5"/>
  <c r="K158" i="5"/>
  <c r="M163" i="5"/>
  <c r="P163" i="5"/>
  <c r="O163" i="5"/>
  <c r="N174" i="5"/>
  <c r="P181" i="5"/>
  <c r="O181" i="5"/>
  <c r="L181" i="5"/>
  <c r="K181" i="5"/>
  <c r="L161" i="5"/>
  <c r="L169" i="5"/>
  <c r="P190" i="5"/>
  <c r="O190" i="5"/>
  <c r="L190" i="5"/>
  <c r="K190" i="5"/>
  <c r="P193" i="5"/>
  <c r="O193" i="5"/>
  <c r="N193" i="5"/>
  <c r="L193" i="5"/>
  <c r="L157" i="5"/>
  <c r="L165" i="5"/>
  <c r="L173" i="5"/>
  <c r="K175" i="5"/>
  <c r="P177" i="5"/>
  <c r="O177" i="5"/>
  <c r="L177" i="5"/>
  <c r="N177" i="5"/>
  <c r="K187" i="5"/>
  <c r="P188" i="5"/>
  <c r="O188" i="5"/>
  <c r="L188" i="5"/>
  <c r="N188" i="5"/>
  <c r="K191" i="5"/>
  <c r="K193" i="5"/>
  <c r="N157" i="5"/>
  <c r="K159" i="5"/>
  <c r="L162" i="5"/>
  <c r="N165" i="5"/>
  <c r="K167" i="5"/>
  <c r="L170" i="5"/>
  <c r="N173" i="5"/>
  <c r="P180" i="5"/>
  <c r="O180" i="5"/>
  <c r="L180" i="5"/>
  <c r="N180" i="5"/>
  <c r="M193" i="5"/>
  <c r="P197" i="5"/>
  <c r="O197" i="5"/>
  <c r="N197" i="5"/>
  <c r="L197" i="5"/>
  <c r="M197" i="5"/>
  <c r="L159" i="5"/>
  <c r="L167" i="5"/>
  <c r="O175" i="5"/>
  <c r="L175" i="5"/>
  <c r="P175" i="5"/>
  <c r="N175" i="5"/>
  <c r="P187" i="5"/>
  <c r="O187" i="5"/>
  <c r="L187" i="5"/>
  <c r="N187" i="5"/>
  <c r="M190" i="5"/>
  <c r="P191" i="5"/>
  <c r="O191" i="5"/>
  <c r="L191" i="5"/>
  <c r="M191" i="5"/>
  <c r="P198" i="5"/>
  <c r="O198" i="5"/>
  <c r="N198" i="5"/>
  <c r="L198" i="5"/>
  <c r="M198" i="5"/>
  <c r="P200" i="5"/>
  <c r="O200" i="5"/>
  <c r="N200" i="5"/>
  <c r="L200" i="5"/>
  <c r="P199" i="5"/>
  <c r="O199" i="5"/>
  <c r="N199" i="5"/>
  <c r="L199" i="5"/>
  <c r="K200" i="5"/>
  <c r="P176" i="5"/>
  <c r="O176" i="5"/>
  <c r="L176" i="5"/>
  <c r="N176" i="5"/>
  <c r="P184" i="5"/>
  <c r="O184" i="5"/>
  <c r="L184" i="5"/>
  <c r="N184" i="5"/>
  <c r="P192" i="5"/>
  <c r="O192" i="5"/>
  <c r="N192" i="5"/>
  <c r="L192" i="5"/>
  <c r="P194" i="5"/>
  <c r="O194" i="5"/>
  <c r="N194" i="5"/>
  <c r="L194" i="5"/>
  <c r="M200" i="5"/>
  <c r="P202" i="5"/>
  <c r="O202" i="5"/>
  <c r="N202" i="5"/>
  <c r="L202" i="5"/>
  <c r="Q115" i="5" l="1"/>
  <c r="Q115" i="4"/>
  <c r="R115" i="5" s="1"/>
  <c r="Q39" i="5"/>
  <c r="Q39" i="4"/>
  <c r="R39" i="5" s="1"/>
  <c r="Q60" i="5"/>
  <c r="Q60" i="4"/>
  <c r="R60" i="5" s="1"/>
  <c r="Q23" i="5"/>
  <c r="Q23" i="4"/>
  <c r="R23" i="5" s="1"/>
  <c r="Q52" i="5"/>
  <c r="Q52" i="4"/>
  <c r="R52" i="5" s="1"/>
  <c r="Q98" i="5"/>
  <c r="Q98" i="4"/>
  <c r="R98" i="5" s="1"/>
  <c r="Q48" i="5"/>
  <c r="Q48" i="4"/>
  <c r="R48" i="5" s="1"/>
  <c r="Q20" i="5"/>
  <c r="Q20" i="4"/>
  <c r="R20" i="5" s="1"/>
  <c r="Q47" i="5"/>
  <c r="Q47" i="4"/>
  <c r="R47" i="5" s="1"/>
  <c r="Q7" i="5"/>
  <c r="Q7" i="4"/>
  <c r="R7" i="5" s="1"/>
  <c r="Q147" i="5"/>
  <c r="Q147" i="4"/>
  <c r="R147" i="5" s="1"/>
  <c r="Q113" i="5"/>
  <c r="Q113" i="4"/>
  <c r="R113" i="5" s="1"/>
  <c r="Q76" i="5"/>
  <c r="Q76" i="4"/>
  <c r="R76" i="5" s="1"/>
  <c r="Q138" i="5"/>
  <c r="Q138" i="4"/>
  <c r="R138" i="5" s="1"/>
  <c r="Q31" i="5"/>
  <c r="Q31" i="4"/>
  <c r="R31" i="5" s="1"/>
  <c r="Q124" i="5"/>
  <c r="Q124" i="4"/>
  <c r="R124" i="5" s="1"/>
  <c r="Q129" i="5"/>
  <c r="Q129" i="4"/>
  <c r="R129" i="5" s="1"/>
  <c r="Q133" i="5"/>
  <c r="Q133" i="4"/>
  <c r="R133" i="5" s="1"/>
  <c r="Q50" i="5"/>
  <c r="Q50" i="4"/>
  <c r="R50" i="5" s="1"/>
  <c r="Q136" i="5"/>
  <c r="Q136" i="4"/>
  <c r="R136" i="5" s="1"/>
  <c r="Q105" i="5"/>
  <c r="Q105" i="4"/>
  <c r="R105" i="5" s="1"/>
  <c r="Q67" i="5"/>
  <c r="Q67" i="4"/>
  <c r="R67" i="5" s="1"/>
  <c r="Q75" i="5"/>
  <c r="Q75" i="4"/>
  <c r="R75" i="5" s="1"/>
  <c r="Q68" i="5"/>
  <c r="Q68" i="4"/>
  <c r="R68" i="5" s="1"/>
  <c r="Q119" i="5"/>
  <c r="Q119" i="4"/>
  <c r="R119" i="5" s="1"/>
  <c r="Q9" i="5"/>
  <c r="Q9" i="4"/>
  <c r="R9" i="5" s="1"/>
  <c r="Q103" i="5"/>
  <c r="Q103" i="4"/>
  <c r="R103" i="5" s="1"/>
  <c r="Q26" i="5"/>
  <c r="Q26" i="4"/>
  <c r="R26" i="5" s="1"/>
  <c r="Q59" i="5"/>
  <c r="Q59" i="4"/>
  <c r="R59" i="5" s="1"/>
  <c r="Q146" i="5"/>
  <c r="Q146" i="4"/>
  <c r="R146" i="5" s="1"/>
  <c r="Q148" i="5"/>
  <c r="Q148" i="4"/>
  <c r="R148" i="5" s="1"/>
  <c r="Q139" i="5"/>
  <c r="Q139" i="4"/>
  <c r="R139" i="5" s="1"/>
  <c r="Q128" i="5"/>
  <c r="Q128" i="4"/>
  <c r="R128" i="5" s="1"/>
  <c r="Q127" i="5"/>
  <c r="Q127" i="4"/>
  <c r="R127" i="5" s="1"/>
  <c r="Q57" i="5"/>
  <c r="Q57" i="4"/>
  <c r="R57" i="5" s="1"/>
  <c r="Q33" i="5"/>
  <c r="Q33" i="4"/>
  <c r="R33" i="5" s="1"/>
  <c r="Q36" i="5"/>
  <c r="Q36" i="4"/>
  <c r="R36" i="5" s="1"/>
  <c r="Q25" i="5"/>
  <c r="Q25" i="4"/>
  <c r="R25" i="5" s="1"/>
  <c r="Q144" i="5"/>
  <c r="Q144" i="4"/>
  <c r="R144" i="5" s="1"/>
  <c r="J166" i="5"/>
  <c r="O166" i="4"/>
  <c r="Z166" i="4"/>
  <c r="T166" i="5" s="1"/>
  <c r="S166" i="4"/>
  <c r="P166" i="4"/>
  <c r="AB166" i="4"/>
  <c r="U166" i="5" s="1"/>
  <c r="J165" i="5"/>
  <c r="O165" i="4"/>
  <c r="P165" i="4" s="1"/>
  <c r="Z165" i="4"/>
  <c r="T165" i="5" s="1"/>
  <c r="S165" i="4"/>
  <c r="AB165" i="4"/>
  <c r="U165" i="5" s="1"/>
  <c r="J172" i="5"/>
  <c r="O172" i="4"/>
  <c r="P172" i="4" s="1"/>
  <c r="Z172" i="4"/>
  <c r="T172" i="5" s="1"/>
  <c r="AB172" i="4"/>
  <c r="U172" i="5" s="1"/>
  <c r="S172" i="4"/>
  <c r="J176" i="5"/>
  <c r="O176" i="4"/>
  <c r="AB176" i="4"/>
  <c r="U176" i="5" s="1"/>
  <c r="S176" i="4"/>
  <c r="P176" i="4"/>
  <c r="Z176" i="4"/>
  <c r="T176" i="5" s="1"/>
  <c r="J160" i="5"/>
  <c r="O160" i="4"/>
  <c r="P160" i="4" s="1"/>
  <c r="AB160" i="4"/>
  <c r="U160" i="5" s="1"/>
  <c r="Z160" i="4"/>
  <c r="T160" i="5" s="1"/>
  <c r="S160" i="4"/>
  <c r="I141" i="5"/>
  <c r="K141" i="4"/>
  <c r="E141" i="5" s="1"/>
  <c r="AE141" i="4"/>
  <c r="V141" i="5" s="1"/>
  <c r="AF141" i="4"/>
  <c r="W141" i="5" s="1"/>
  <c r="J108" i="5"/>
  <c r="O108" i="4"/>
  <c r="AB108" i="4"/>
  <c r="U108" i="5" s="1"/>
  <c r="P108" i="4"/>
  <c r="Z108" i="4"/>
  <c r="T108" i="5" s="1"/>
  <c r="S108" i="4"/>
  <c r="J141" i="5"/>
  <c r="O141" i="4"/>
  <c r="AB141" i="4"/>
  <c r="U141" i="5" s="1"/>
  <c r="Z141" i="4"/>
  <c r="T141" i="5" s="1"/>
  <c r="P141" i="4"/>
  <c r="S141" i="4"/>
  <c r="I99" i="5"/>
  <c r="AF99" i="4"/>
  <c r="W99" i="5" s="1"/>
  <c r="AE99" i="4"/>
  <c r="V99" i="5" s="1"/>
  <c r="K99" i="4"/>
  <c r="E99" i="5" s="1"/>
  <c r="I82" i="5"/>
  <c r="AE82" i="4"/>
  <c r="V82" i="5" s="1"/>
  <c r="K82" i="4"/>
  <c r="E82" i="5" s="1"/>
  <c r="AF82" i="4"/>
  <c r="W82" i="5" s="1"/>
  <c r="J158" i="5"/>
  <c r="O158" i="4"/>
  <c r="Z158" i="4"/>
  <c r="T158" i="5" s="1"/>
  <c r="AB158" i="4"/>
  <c r="U158" i="5" s="1"/>
  <c r="P158" i="4"/>
  <c r="S158" i="4"/>
  <c r="J145" i="5"/>
  <c r="O145" i="4"/>
  <c r="P145" i="4" s="1"/>
  <c r="Z145" i="4"/>
  <c r="T145" i="5" s="1"/>
  <c r="AB145" i="4"/>
  <c r="U145" i="5" s="1"/>
  <c r="S145" i="4"/>
  <c r="Q112" i="5"/>
  <c r="Q112" i="4"/>
  <c r="R112" i="5" s="1"/>
  <c r="I103" i="5"/>
  <c r="AF103" i="4"/>
  <c r="W103" i="5" s="1"/>
  <c r="AE103" i="4"/>
  <c r="V103" i="5" s="1"/>
  <c r="K103" i="4"/>
  <c r="E103" i="5" s="1"/>
  <c r="S92" i="5"/>
  <c r="AG92" i="4"/>
  <c r="Q94" i="5"/>
  <c r="Q94" i="4"/>
  <c r="R94" i="5" s="1"/>
  <c r="I59" i="5"/>
  <c r="AE59" i="4"/>
  <c r="V59" i="5" s="1"/>
  <c r="K59" i="4"/>
  <c r="E59" i="5" s="1"/>
  <c r="AF59" i="4"/>
  <c r="W59" i="5" s="1"/>
  <c r="I28" i="5"/>
  <c r="AF28" i="4"/>
  <c r="W28" i="5" s="1"/>
  <c r="AE28" i="4"/>
  <c r="V28" i="5" s="1"/>
  <c r="K28" i="4"/>
  <c r="E28" i="5" s="1"/>
  <c r="I101" i="5"/>
  <c r="AF101" i="4"/>
  <c r="W101" i="5" s="1"/>
  <c r="AE101" i="4"/>
  <c r="V101" i="5" s="1"/>
  <c r="K101" i="4"/>
  <c r="E101" i="5" s="1"/>
  <c r="Q77" i="5"/>
  <c r="Q77" i="4"/>
  <c r="R77" i="5" s="1"/>
  <c r="I15" i="5"/>
  <c r="AJ15" i="4"/>
  <c r="K15" i="4"/>
  <c r="E15" i="5" s="1"/>
  <c r="AF15" i="4"/>
  <c r="W15" i="5" s="1"/>
  <c r="AE15" i="4"/>
  <c r="V15" i="5" s="1"/>
  <c r="S67" i="5"/>
  <c r="AG67" i="4"/>
  <c r="I90" i="5"/>
  <c r="AF90" i="4"/>
  <c r="W90" i="5" s="1"/>
  <c r="AE90" i="4"/>
  <c r="V90" i="5" s="1"/>
  <c r="K90" i="4"/>
  <c r="E90" i="5" s="1"/>
  <c r="I61" i="5"/>
  <c r="AE61" i="4"/>
  <c r="V61" i="5" s="1"/>
  <c r="K61" i="4"/>
  <c r="E61" i="5" s="1"/>
  <c r="AF61" i="4"/>
  <c r="W61" i="5" s="1"/>
  <c r="J6" i="5"/>
  <c r="Z6" i="4"/>
  <c r="T6" i="5" s="1"/>
  <c r="P6" i="4"/>
  <c r="AB6" i="4"/>
  <c r="U6" i="5" s="1"/>
  <c r="O6" i="4"/>
  <c r="I38" i="5"/>
  <c r="AE38" i="4"/>
  <c r="V38" i="5" s="1"/>
  <c r="K38" i="4"/>
  <c r="E38" i="5" s="1"/>
  <c r="AF38" i="4"/>
  <c r="W38" i="5" s="1"/>
  <c r="J106" i="5"/>
  <c r="O106" i="4"/>
  <c r="P106" i="4" s="1"/>
  <c r="S106" i="4"/>
  <c r="AB106" i="4"/>
  <c r="U106" i="5" s="1"/>
  <c r="Z106" i="4"/>
  <c r="T106" i="5" s="1"/>
  <c r="Q90" i="5"/>
  <c r="Q90" i="4"/>
  <c r="R90" i="5" s="1"/>
  <c r="J72" i="5"/>
  <c r="S72" i="4"/>
  <c r="AB72" i="4"/>
  <c r="U72" i="5" s="1"/>
  <c r="O72" i="4"/>
  <c r="P72" i="4" s="1"/>
  <c r="Z72" i="4"/>
  <c r="T72" i="5" s="1"/>
  <c r="S76" i="5"/>
  <c r="AG76" i="4"/>
  <c r="Q18" i="5"/>
  <c r="Q18" i="4"/>
  <c r="R18" i="5" s="1"/>
  <c r="I27" i="5"/>
  <c r="AF27" i="4"/>
  <c r="W27" i="5" s="1"/>
  <c r="AE27" i="4"/>
  <c r="V27" i="5" s="1"/>
  <c r="K27" i="4"/>
  <c r="E27" i="5" s="1"/>
  <c r="I11" i="5"/>
  <c r="AE11" i="4"/>
  <c r="V11" i="5" s="1"/>
  <c r="K11" i="4"/>
  <c r="E11" i="5" s="1"/>
  <c r="AF11" i="4"/>
  <c r="W11" i="5" s="1"/>
  <c r="J63" i="5"/>
  <c r="Z63" i="4"/>
  <c r="T63" i="5" s="1"/>
  <c r="O63" i="4"/>
  <c r="P63" i="4" s="1"/>
  <c r="S63" i="4"/>
  <c r="AB63" i="4"/>
  <c r="U63" i="5" s="1"/>
  <c r="I55" i="5"/>
  <c r="AE55" i="4"/>
  <c r="V55" i="5" s="1"/>
  <c r="K55" i="4"/>
  <c r="E55" i="5" s="1"/>
  <c r="AF55" i="4"/>
  <c r="W55" i="5" s="1"/>
  <c r="S9" i="5"/>
  <c r="AG9" i="4"/>
  <c r="Q70" i="5"/>
  <c r="Q70" i="4"/>
  <c r="R70" i="5" s="1"/>
  <c r="I8" i="5"/>
  <c r="K8" i="4"/>
  <c r="E8" i="5" s="1"/>
  <c r="AF8" i="4"/>
  <c r="W8" i="5" s="1"/>
  <c r="AE8" i="4"/>
  <c r="V8" i="5" s="1"/>
  <c r="J69" i="5"/>
  <c r="S69" i="4"/>
  <c r="Z69" i="4"/>
  <c r="T69" i="5" s="1"/>
  <c r="AB69" i="4"/>
  <c r="U69" i="5" s="1"/>
  <c r="O69" i="4"/>
  <c r="P69" i="4" s="1"/>
  <c r="I37" i="5"/>
  <c r="AE37" i="4"/>
  <c r="V37" i="5" s="1"/>
  <c r="K37" i="4"/>
  <c r="E37" i="5" s="1"/>
  <c r="AF37" i="4"/>
  <c r="W37" i="5" s="1"/>
  <c r="J29" i="5"/>
  <c r="Z29" i="4"/>
  <c r="T29" i="5" s="1"/>
  <c r="S29" i="4"/>
  <c r="AB29" i="4"/>
  <c r="U29" i="5" s="1"/>
  <c r="O29" i="4"/>
  <c r="P29" i="4" s="1"/>
  <c r="S98" i="5"/>
  <c r="AG98" i="4"/>
  <c r="J81" i="5"/>
  <c r="S81" i="4"/>
  <c r="AB81" i="4"/>
  <c r="U81" i="5" s="1"/>
  <c r="O81" i="4"/>
  <c r="P81" i="4" s="1"/>
  <c r="Z81" i="4"/>
  <c r="T81" i="5" s="1"/>
  <c r="S40" i="5"/>
  <c r="AG40" i="4"/>
  <c r="Q35" i="5"/>
  <c r="Q35" i="4"/>
  <c r="R35" i="5" s="1"/>
  <c r="Q4" i="5"/>
  <c r="Q4" i="4"/>
  <c r="R4" i="5" s="1"/>
  <c r="J198" i="5"/>
  <c r="O198" i="4"/>
  <c r="Z198" i="4"/>
  <c r="T198" i="5" s="1"/>
  <c r="S198" i="4"/>
  <c r="P198" i="4"/>
  <c r="AB198" i="4"/>
  <c r="U198" i="5" s="1"/>
  <c r="J170" i="5"/>
  <c r="O170" i="4"/>
  <c r="P170" i="4" s="1"/>
  <c r="S170" i="4"/>
  <c r="AB170" i="4"/>
  <c r="U170" i="5" s="1"/>
  <c r="Z170" i="4"/>
  <c r="T170" i="5" s="1"/>
  <c r="J154" i="5"/>
  <c r="O154" i="4"/>
  <c r="P154" i="4" s="1"/>
  <c r="S154" i="4"/>
  <c r="Z154" i="4"/>
  <c r="T154" i="5" s="1"/>
  <c r="AB154" i="4"/>
  <c r="U154" i="5" s="1"/>
  <c r="J169" i="5"/>
  <c r="O169" i="4"/>
  <c r="S169" i="4"/>
  <c r="P169" i="4"/>
  <c r="AB169" i="4"/>
  <c r="U169" i="5" s="1"/>
  <c r="Z169" i="4"/>
  <c r="T169" i="5" s="1"/>
  <c r="J153" i="5"/>
  <c r="O153" i="4"/>
  <c r="P153" i="4" s="1"/>
  <c r="S153" i="4"/>
  <c r="Z153" i="4"/>
  <c r="T153" i="5" s="1"/>
  <c r="AB153" i="4"/>
  <c r="U153" i="5" s="1"/>
  <c r="I184" i="5"/>
  <c r="K184" i="4"/>
  <c r="E184" i="5" s="1"/>
  <c r="AF184" i="4"/>
  <c r="W184" i="5" s="1"/>
  <c r="AE184" i="4"/>
  <c r="V184" i="5" s="1"/>
  <c r="J197" i="5"/>
  <c r="O197" i="4"/>
  <c r="S197" i="4"/>
  <c r="AB197" i="4"/>
  <c r="U197" i="5" s="1"/>
  <c r="P197" i="4"/>
  <c r="Z197" i="4"/>
  <c r="T197" i="5" s="1"/>
  <c r="J184" i="5"/>
  <c r="O184" i="4"/>
  <c r="P184" i="4" s="1"/>
  <c r="Z184" i="4"/>
  <c r="T184" i="5" s="1"/>
  <c r="AB184" i="4"/>
  <c r="U184" i="5" s="1"/>
  <c r="S184" i="4"/>
  <c r="I149" i="5"/>
  <c r="K149" i="4"/>
  <c r="E149" i="5" s="1"/>
  <c r="AE149" i="4"/>
  <c r="V149" i="5" s="1"/>
  <c r="AF149" i="4"/>
  <c r="W149" i="5" s="1"/>
  <c r="J118" i="5"/>
  <c r="O118" i="4"/>
  <c r="Z118" i="4"/>
  <c r="T118" i="5" s="1"/>
  <c r="AB118" i="4"/>
  <c r="U118" i="5" s="1"/>
  <c r="P118" i="4"/>
  <c r="S118" i="4"/>
  <c r="S147" i="5"/>
  <c r="AG147" i="4"/>
  <c r="S115" i="5"/>
  <c r="AG115" i="4"/>
  <c r="I94" i="5"/>
  <c r="AF94" i="4"/>
  <c r="W94" i="5" s="1"/>
  <c r="AE94" i="4"/>
  <c r="V94" i="5" s="1"/>
  <c r="K94" i="4"/>
  <c r="E94" i="5" s="1"/>
  <c r="S113" i="5"/>
  <c r="AG113" i="4"/>
  <c r="J123" i="5"/>
  <c r="O123" i="4"/>
  <c r="P123" i="4" s="1"/>
  <c r="S123" i="4"/>
  <c r="AB123" i="4"/>
  <c r="U123" i="5" s="1"/>
  <c r="Z123" i="4"/>
  <c r="T123" i="5" s="1"/>
  <c r="Q135" i="5"/>
  <c r="Q135" i="4"/>
  <c r="R135" i="5" s="1"/>
  <c r="S80" i="5"/>
  <c r="AG80" i="4"/>
  <c r="I116" i="5"/>
  <c r="AF116" i="4"/>
  <c r="W116" i="5" s="1"/>
  <c r="AE116" i="4"/>
  <c r="V116" i="5" s="1"/>
  <c r="K116" i="4"/>
  <c r="E116" i="5" s="1"/>
  <c r="I87" i="5"/>
  <c r="AE87" i="4"/>
  <c r="V87" i="5" s="1"/>
  <c r="K87" i="4"/>
  <c r="E87" i="5" s="1"/>
  <c r="AF87" i="4"/>
  <c r="W87" i="5" s="1"/>
  <c r="I43" i="5"/>
  <c r="AE43" i="4"/>
  <c r="V43" i="5" s="1"/>
  <c r="K43" i="4"/>
  <c r="E43" i="5" s="1"/>
  <c r="AF43" i="4"/>
  <c r="W43" i="5" s="1"/>
  <c r="I7" i="5"/>
  <c r="K7" i="4"/>
  <c r="E7" i="5" s="1"/>
  <c r="AF7" i="4"/>
  <c r="W7" i="5" s="1"/>
  <c r="AE7" i="4"/>
  <c r="V7" i="5" s="1"/>
  <c r="I157" i="5"/>
  <c r="AE157" i="4"/>
  <c r="V157" i="5" s="1"/>
  <c r="K157" i="4"/>
  <c r="E157" i="5" s="1"/>
  <c r="AF157" i="4"/>
  <c r="W157" i="5" s="1"/>
  <c r="J140" i="5"/>
  <c r="O140" i="4"/>
  <c r="P140" i="4" s="1"/>
  <c r="AB140" i="4"/>
  <c r="U140" i="5" s="1"/>
  <c r="Z140" i="4"/>
  <c r="T140" i="5" s="1"/>
  <c r="S140" i="4"/>
  <c r="I106" i="5"/>
  <c r="AF106" i="4"/>
  <c r="W106" i="5" s="1"/>
  <c r="K106" i="4"/>
  <c r="E106" i="5" s="1"/>
  <c r="AE106" i="4"/>
  <c r="V106" i="5" s="1"/>
  <c r="I64" i="5"/>
  <c r="AE64" i="4"/>
  <c r="V64" i="5" s="1"/>
  <c r="K64" i="4"/>
  <c r="E64" i="5" s="1"/>
  <c r="AF64" i="4"/>
  <c r="W64" i="5" s="1"/>
  <c r="J37" i="5"/>
  <c r="Z37" i="4"/>
  <c r="T37" i="5" s="1"/>
  <c r="S37" i="4"/>
  <c r="AB37" i="4"/>
  <c r="U37" i="5" s="1"/>
  <c r="O37" i="4"/>
  <c r="P37" i="4" s="1"/>
  <c r="I24" i="5"/>
  <c r="K24" i="4"/>
  <c r="E24" i="5" s="1"/>
  <c r="AF24" i="4"/>
  <c r="W24" i="5" s="1"/>
  <c r="AE24" i="4"/>
  <c r="V24" i="5" s="1"/>
  <c r="I63" i="5"/>
  <c r="AE63" i="4"/>
  <c r="V63" i="5" s="1"/>
  <c r="K63" i="4"/>
  <c r="E63" i="5" s="1"/>
  <c r="AF63" i="4"/>
  <c r="W63" i="5" s="1"/>
  <c r="J21" i="5"/>
  <c r="Z21" i="4"/>
  <c r="T21" i="5" s="1"/>
  <c r="P21" i="4"/>
  <c r="S21" i="4"/>
  <c r="AB21" i="4"/>
  <c r="U21" i="5" s="1"/>
  <c r="O21" i="4"/>
  <c r="S65" i="5"/>
  <c r="AG65" i="4"/>
  <c r="S33" i="5"/>
  <c r="AG33" i="4"/>
  <c r="I19" i="5"/>
  <c r="K19" i="4"/>
  <c r="E19" i="5" s="1"/>
  <c r="AF19" i="4"/>
  <c r="W19" i="5" s="1"/>
  <c r="AE19" i="4"/>
  <c r="V19" i="5" s="1"/>
  <c r="S70" i="5"/>
  <c r="AG70" i="4"/>
  <c r="S60" i="5"/>
  <c r="AG60" i="4"/>
  <c r="J89" i="5"/>
  <c r="S89" i="4"/>
  <c r="AB89" i="4"/>
  <c r="U89" i="5" s="1"/>
  <c r="O89" i="4"/>
  <c r="P89" i="4" s="1"/>
  <c r="Z89" i="4"/>
  <c r="T89" i="5" s="1"/>
  <c r="I29" i="5"/>
  <c r="AF29" i="4"/>
  <c r="W29" i="5" s="1"/>
  <c r="K29" i="4"/>
  <c r="E29" i="5" s="1"/>
  <c r="AE29" i="4"/>
  <c r="V29" i="5" s="1"/>
  <c r="I81" i="5"/>
  <c r="AE81" i="4"/>
  <c r="V81" i="5" s="1"/>
  <c r="K81" i="4"/>
  <c r="E81" i="5" s="1"/>
  <c r="AF81" i="4"/>
  <c r="W81" i="5" s="1"/>
  <c r="Q40" i="5"/>
  <c r="Q40" i="4"/>
  <c r="R40" i="5" s="1"/>
  <c r="S15" i="5"/>
  <c r="AG15" i="4"/>
  <c r="S12" i="5"/>
  <c r="AG12" i="4"/>
  <c r="J156" i="5"/>
  <c r="O156" i="4"/>
  <c r="P156" i="4" s="1"/>
  <c r="Z156" i="4"/>
  <c r="T156" i="5" s="1"/>
  <c r="AB156" i="4"/>
  <c r="U156" i="5" s="1"/>
  <c r="S156" i="4"/>
  <c r="I174" i="5"/>
  <c r="K174" i="4"/>
  <c r="E174" i="5" s="1"/>
  <c r="AF174" i="4"/>
  <c r="W174" i="5" s="1"/>
  <c r="AE174" i="4"/>
  <c r="V174" i="5" s="1"/>
  <c r="S148" i="5"/>
  <c r="AG148" i="4"/>
  <c r="I123" i="5"/>
  <c r="AF123" i="4"/>
  <c r="W123" i="5" s="1"/>
  <c r="AE123" i="4"/>
  <c r="V123" i="5" s="1"/>
  <c r="K123" i="4"/>
  <c r="E123" i="5" s="1"/>
  <c r="I91" i="5"/>
  <c r="AF91" i="4"/>
  <c r="W91" i="5" s="1"/>
  <c r="AE91" i="4"/>
  <c r="V91" i="5" s="1"/>
  <c r="K91" i="4"/>
  <c r="E91" i="5" s="1"/>
  <c r="J137" i="5"/>
  <c r="O137" i="4"/>
  <c r="P137" i="4" s="1"/>
  <c r="Z137" i="4"/>
  <c r="T137" i="5" s="1"/>
  <c r="S137" i="4"/>
  <c r="AB137" i="4"/>
  <c r="U137" i="5" s="1"/>
  <c r="S88" i="5"/>
  <c r="AG88" i="4"/>
  <c r="I20" i="5"/>
  <c r="AJ20" i="4"/>
  <c r="AF20" i="4"/>
  <c r="W20" i="5" s="1"/>
  <c r="AE20" i="4"/>
  <c r="V20" i="5" s="1"/>
  <c r="K20" i="4"/>
  <c r="E20" i="5" s="1"/>
  <c r="J125" i="5"/>
  <c r="O125" i="4"/>
  <c r="AB125" i="4"/>
  <c r="U125" i="5" s="1"/>
  <c r="S125" i="4"/>
  <c r="P125" i="4"/>
  <c r="Z125" i="4"/>
  <c r="T125" i="5" s="1"/>
  <c r="S129" i="5"/>
  <c r="AG129" i="4"/>
  <c r="I73" i="5"/>
  <c r="AE73" i="4"/>
  <c r="V73" i="5" s="1"/>
  <c r="K73" i="4"/>
  <c r="E73" i="5" s="1"/>
  <c r="AF73" i="4"/>
  <c r="W73" i="5" s="1"/>
  <c r="I52" i="5"/>
  <c r="AE52" i="4"/>
  <c r="V52" i="5" s="1"/>
  <c r="K52" i="4"/>
  <c r="E52" i="5" s="1"/>
  <c r="AF52" i="4"/>
  <c r="W52" i="5" s="1"/>
  <c r="S102" i="5"/>
  <c r="AG102" i="4"/>
  <c r="J85" i="5"/>
  <c r="S85" i="4"/>
  <c r="AB85" i="4"/>
  <c r="U85" i="5" s="1"/>
  <c r="Z85" i="4"/>
  <c r="T85" i="5" s="1"/>
  <c r="O85" i="4"/>
  <c r="P85" i="4" s="1"/>
  <c r="S75" i="5"/>
  <c r="AG75" i="4"/>
  <c r="J30" i="5"/>
  <c r="Z30" i="4"/>
  <c r="T30" i="5" s="1"/>
  <c r="P30" i="4"/>
  <c r="AB30" i="4"/>
  <c r="U30" i="5" s="1"/>
  <c r="O30" i="4"/>
  <c r="S30" i="4"/>
  <c r="J157" i="5"/>
  <c r="O157" i="4"/>
  <c r="Z157" i="4"/>
  <c r="T157" i="5" s="1"/>
  <c r="AB157" i="4"/>
  <c r="U157" i="5" s="1"/>
  <c r="P157" i="4"/>
  <c r="S157" i="4"/>
  <c r="S120" i="5"/>
  <c r="AG120" i="4"/>
  <c r="S138" i="5"/>
  <c r="AG138" i="4"/>
  <c r="S121" i="5"/>
  <c r="AG121" i="4"/>
  <c r="S111" i="5"/>
  <c r="AG111" i="4"/>
  <c r="I42" i="5"/>
  <c r="AE42" i="4"/>
  <c r="V42" i="5" s="1"/>
  <c r="K42" i="4"/>
  <c r="E42" i="5" s="1"/>
  <c r="AF42" i="4"/>
  <c r="W42" i="5" s="1"/>
  <c r="I56" i="5"/>
  <c r="AE56" i="4"/>
  <c r="V56" i="5" s="1"/>
  <c r="K56" i="4"/>
  <c r="E56" i="5" s="1"/>
  <c r="AF56" i="4"/>
  <c r="W56" i="5" s="1"/>
  <c r="S50" i="5"/>
  <c r="AG50" i="4"/>
  <c r="I21" i="5"/>
  <c r="K21" i="4"/>
  <c r="E21" i="5" s="1"/>
  <c r="AF21" i="4"/>
  <c r="W21" i="5" s="1"/>
  <c r="AE21" i="4"/>
  <c r="V21" i="5" s="1"/>
  <c r="Q87" i="5"/>
  <c r="Q87" i="4"/>
  <c r="R87" i="5" s="1"/>
  <c r="I16" i="5"/>
  <c r="K16" i="4"/>
  <c r="E16" i="5" s="1"/>
  <c r="AF16" i="4"/>
  <c r="W16" i="5" s="1"/>
  <c r="AE16" i="4"/>
  <c r="V16" i="5" s="1"/>
  <c r="I89" i="5"/>
  <c r="AF89" i="4"/>
  <c r="W89" i="5" s="1"/>
  <c r="AE89" i="4"/>
  <c r="V89" i="5" s="1"/>
  <c r="K89" i="4"/>
  <c r="E89" i="5" s="1"/>
  <c r="I45" i="5"/>
  <c r="AE45" i="4"/>
  <c r="V45" i="5" s="1"/>
  <c r="K45" i="4"/>
  <c r="E45" i="5" s="1"/>
  <c r="AF45" i="4"/>
  <c r="W45" i="5" s="1"/>
  <c r="Q93" i="5"/>
  <c r="Q93" i="4"/>
  <c r="R93" i="5" s="1"/>
  <c r="J11" i="5"/>
  <c r="Z11" i="4"/>
  <c r="T11" i="5" s="1"/>
  <c r="O11" i="4"/>
  <c r="P11" i="4" s="1"/>
  <c r="AB11" i="4"/>
  <c r="U11" i="5" s="1"/>
  <c r="S11" i="4"/>
  <c r="P4" i="5"/>
  <c r="O4" i="5"/>
  <c r="N4" i="5"/>
  <c r="M4" i="5"/>
  <c r="S59" i="5"/>
  <c r="AG59" i="4"/>
  <c r="S28" i="5"/>
  <c r="AG28" i="4"/>
  <c r="Q12" i="5"/>
  <c r="Q12" i="4"/>
  <c r="R12" i="5" s="1"/>
  <c r="J196" i="5"/>
  <c r="O196" i="4"/>
  <c r="P196" i="4" s="1"/>
  <c r="AB196" i="4"/>
  <c r="U196" i="5" s="1"/>
  <c r="S196" i="4"/>
  <c r="Z196" i="4"/>
  <c r="T196" i="5" s="1"/>
  <c r="J164" i="5"/>
  <c r="O164" i="4"/>
  <c r="P164" i="4" s="1"/>
  <c r="S164" i="4"/>
  <c r="Z164" i="4"/>
  <c r="T164" i="5" s="1"/>
  <c r="AB164" i="4"/>
  <c r="U164" i="5" s="1"/>
  <c r="I138" i="5"/>
  <c r="AF138" i="4"/>
  <c r="W138" i="5" s="1"/>
  <c r="K138" i="4"/>
  <c r="E138" i="5" s="1"/>
  <c r="AJ138" i="4"/>
  <c r="AE138" i="4"/>
  <c r="V138" i="5" s="1"/>
  <c r="J152" i="5"/>
  <c r="O152" i="4"/>
  <c r="P152" i="4" s="1"/>
  <c r="AB152" i="4"/>
  <c r="U152" i="5" s="1"/>
  <c r="S152" i="4"/>
  <c r="Z152" i="4"/>
  <c r="T152" i="5" s="1"/>
  <c r="J174" i="5"/>
  <c r="O174" i="4"/>
  <c r="Z174" i="4"/>
  <c r="T174" i="5" s="1"/>
  <c r="P174" i="4"/>
  <c r="AB174" i="4"/>
  <c r="U174" i="5" s="1"/>
  <c r="S174" i="4"/>
  <c r="I100" i="5"/>
  <c r="AF100" i="4"/>
  <c r="W100" i="5" s="1"/>
  <c r="AE100" i="4"/>
  <c r="V100" i="5" s="1"/>
  <c r="K100" i="4"/>
  <c r="E100" i="5" s="1"/>
  <c r="X136" i="5"/>
  <c r="AJ136" i="4"/>
  <c r="J101" i="5"/>
  <c r="S101" i="4"/>
  <c r="AB101" i="4"/>
  <c r="U101" i="5" s="1"/>
  <c r="Z101" i="4"/>
  <c r="T101" i="5" s="1"/>
  <c r="O101" i="4"/>
  <c r="P101" i="4" s="1"/>
  <c r="S94" i="5"/>
  <c r="AG94" i="4"/>
  <c r="AJ94" i="4" s="1"/>
  <c r="J46" i="5"/>
  <c r="Z46" i="4"/>
  <c r="T46" i="5" s="1"/>
  <c r="S46" i="4"/>
  <c r="AB46" i="4"/>
  <c r="U46" i="5" s="1"/>
  <c r="O46" i="4"/>
  <c r="P46" i="4" s="1"/>
  <c r="I125" i="5"/>
  <c r="K125" i="4"/>
  <c r="E125" i="5" s="1"/>
  <c r="AF125" i="4"/>
  <c r="W125" i="5" s="1"/>
  <c r="AE125" i="4"/>
  <c r="V125" i="5" s="1"/>
  <c r="I62" i="5"/>
  <c r="AE62" i="4"/>
  <c r="V62" i="5" s="1"/>
  <c r="K62" i="4"/>
  <c r="E62" i="5" s="1"/>
  <c r="AF62" i="4"/>
  <c r="W62" i="5" s="1"/>
  <c r="J104" i="5"/>
  <c r="S104" i="4"/>
  <c r="AB104" i="4"/>
  <c r="U104" i="5" s="1"/>
  <c r="Z104" i="4"/>
  <c r="T104" i="5" s="1"/>
  <c r="O104" i="4"/>
  <c r="P104" i="4"/>
  <c r="Q84" i="5"/>
  <c r="Q84" i="4"/>
  <c r="R84" i="5" s="1"/>
  <c r="I79" i="5"/>
  <c r="AE79" i="4"/>
  <c r="V79" i="5" s="1"/>
  <c r="K79" i="4"/>
  <c r="E79" i="5" s="1"/>
  <c r="AF79" i="4"/>
  <c r="W79" i="5" s="1"/>
  <c r="I39" i="5"/>
  <c r="AE39" i="4"/>
  <c r="V39" i="5" s="1"/>
  <c r="K39" i="4"/>
  <c r="E39" i="5" s="1"/>
  <c r="AF39" i="4"/>
  <c r="W39" i="5" s="1"/>
  <c r="I34" i="5"/>
  <c r="AE34" i="4"/>
  <c r="V34" i="5" s="1"/>
  <c r="K34" i="4"/>
  <c r="E34" i="5" s="1"/>
  <c r="AF34" i="4"/>
  <c r="W34" i="5" s="1"/>
  <c r="I85" i="5"/>
  <c r="AE85" i="4"/>
  <c r="V85" i="5" s="1"/>
  <c r="K85" i="4"/>
  <c r="E85" i="5" s="1"/>
  <c r="AF85" i="4"/>
  <c r="W85" i="5" s="1"/>
  <c r="I53" i="5"/>
  <c r="AE53" i="4"/>
  <c r="V53" i="5" s="1"/>
  <c r="K53" i="4"/>
  <c r="E53" i="5" s="1"/>
  <c r="AF53" i="4"/>
  <c r="W53" i="5" s="1"/>
  <c r="I26" i="5"/>
  <c r="K26" i="4"/>
  <c r="E26" i="5" s="1"/>
  <c r="AF26" i="4"/>
  <c r="W26" i="5" s="1"/>
  <c r="AE26" i="4"/>
  <c r="V26" i="5" s="1"/>
  <c r="Q95" i="5"/>
  <c r="Q95" i="4"/>
  <c r="R95" i="5" s="1"/>
  <c r="S68" i="5"/>
  <c r="AG68" i="4"/>
  <c r="J41" i="5"/>
  <c r="Z41" i="4"/>
  <c r="T41" i="5" s="1"/>
  <c r="S41" i="4"/>
  <c r="AB41" i="4"/>
  <c r="U41" i="5" s="1"/>
  <c r="O41" i="4"/>
  <c r="P41" i="4" s="1"/>
  <c r="I32" i="5"/>
  <c r="K32" i="4"/>
  <c r="E32" i="5" s="1"/>
  <c r="AF32" i="4"/>
  <c r="W32" i="5" s="1"/>
  <c r="AE32" i="4"/>
  <c r="V32" i="5" s="1"/>
  <c r="S17" i="5"/>
  <c r="AG17" i="4"/>
  <c r="S52" i="5"/>
  <c r="AG52" i="4"/>
  <c r="AJ52" i="4" s="1"/>
  <c r="Q73" i="5"/>
  <c r="Q73" i="4"/>
  <c r="R73" i="5" s="1"/>
  <c r="J27" i="5"/>
  <c r="Z27" i="4"/>
  <c r="T27" i="5" s="1"/>
  <c r="P27" i="4"/>
  <c r="O27" i="4"/>
  <c r="AB27" i="4"/>
  <c r="U27" i="5" s="1"/>
  <c r="S27" i="4"/>
  <c r="J66" i="5"/>
  <c r="S66" i="4"/>
  <c r="Z66" i="4"/>
  <c r="T66" i="5" s="1"/>
  <c r="O66" i="4"/>
  <c r="P66" i="4" s="1"/>
  <c r="AB66" i="4"/>
  <c r="U66" i="5" s="1"/>
  <c r="J19" i="5"/>
  <c r="Z19" i="4"/>
  <c r="T19" i="5" s="1"/>
  <c r="O19" i="4"/>
  <c r="P19" i="4" s="1"/>
  <c r="AB19" i="4"/>
  <c r="U19" i="5" s="1"/>
  <c r="S19" i="4"/>
  <c r="S26" i="5"/>
  <c r="AG26" i="4"/>
  <c r="Q15" i="5"/>
  <c r="Q15" i="4"/>
  <c r="R15" i="5" s="1"/>
  <c r="S7" i="5"/>
  <c r="AG7" i="4"/>
  <c r="AJ7" i="4" s="1"/>
  <c r="S20" i="5"/>
  <c r="AG20" i="4"/>
  <c r="Q28" i="5"/>
  <c r="Q28" i="4"/>
  <c r="R28" i="5" s="1"/>
  <c r="J203" i="5"/>
  <c r="O203" i="4"/>
  <c r="P203" i="4" s="1"/>
  <c r="S203" i="4"/>
  <c r="AB203" i="4"/>
  <c r="U203" i="5" s="1"/>
  <c r="Z203" i="4"/>
  <c r="T203" i="5" s="1"/>
  <c r="J186" i="5"/>
  <c r="O186" i="4"/>
  <c r="P186" i="4" s="1"/>
  <c r="S186" i="4"/>
  <c r="AB186" i="4"/>
  <c r="U186" i="5" s="1"/>
  <c r="Z186" i="4"/>
  <c r="T186" i="5" s="1"/>
  <c r="J173" i="5"/>
  <c r="O173" i="4"/>
  <c r="Z173" i="4"/>
  <c r="T173" i="5" s="1"/>
  <c r="S173" i="4"/>
  <c r="AB173" i="4"/>
  <c r="U173" i="5" s="1"/>
  <c r="P173" i="4"/>
  <c r="J183" i="5"/>
  <c r="O183" i="4"/>
  <c r="P183" i="4" s="1"/>
  <c r="AB183" i="4"/>
  <c r="U183" i="5" s="1"/>
  <c r="Z183" i="4"/>
  <c r="T183" i="5" s="1"/>
  <c r="S183" i="4"/>
  <c r="J155" i="5"/>
  <c r="O155" i="4"/>
  <c r="P155" i="4" s="1"/>
  <c r="Z155" i="4"/>
  <c r="T155" i="5" s="1"/>
  <c r="S155" i="4"/>
  <c r="AB155" i="4"/>
  <c r="U155" i="5" s="1"/>
  <c r="J142" i="5"/>
  <c r="O142" i="4"/>
  <c r="P142" i="4" s="1"/>
  <c r="Z142" i="4"/>
  <c r="T142" i="5" s="1"/>
  <c r="AB142" i="4"/>
  <c r="U142" i="5" s="1"/>
  <c r="S142" i="4"/>
  <c r="J175" i="5"/>
  <c r="O175" i="4"/>
  <c r="P175" i="4" s="1"/>
  <c r="AB175" i="4"/>
  <c r="U175" i="5" s="1"/>
  <c r="Z175" i="4"/>
  <c r="T175" i="5" s="1"/>
  <c r="S175" i="4"/>
  <c r="J91" i="5"/>
  <c r="S91" i="4"/>
  <c r="AB91" i="4"/>
  <c r="U91" i="5" s="1"/>
  <c r="Z91" i="4"/>
  <c r="T91" i="5" s="1"/>
  <c r="O91" i="4"/>
  <c r="P91" i="4"/>
  <c r="S143" i="5"/>
  <c r="AG143" i="4"/>
  <c r="S100" i="5"/>
  <c r="AG100" i="4"/>
  <c r="AJ100" i="4" s="1"/>
  <c r="I88" i="5"/>
  <c r="AE88" i="4"/>
  <c r="V88" i="5" s="1"/>
  <c r="K88" i="4"/>
  <c r="E88" i="5" s="1"/>
  <c r="AF88" i="4"/>
  <c r="W88" i="5" s="1"/>
  <c r="AJ88" i="4"/>
  <c r="I137" i="5"/>
  <c r="K137" i="4"/>
  <c r="E137" i="5" s="1"/>
  <c r="AF137" i="4"/>
  <c r="W137" i="5" s="1"/>
  <c r="AE137" i="4"/>
  <c r="V137" i="5" s="1"/>
  <c r="J202" i="5"/>
  <c r="O202" i="4"/>
  <c r="S202" i="4"/>
  <c r="AB202" i="4"/>
  <c r="U202" i="5" s="1"/>
  <c r="P202" i="4"/>
  <c r="Z202" i="4"/>
  <c r="T202" i="5" s="1"/>
  <c r="J194" i="5"/>
  <c r="O194" i="4"/>
  <c r="P194" i="4" s="1"/>
  <c r="S194" i="4"/>
  <c r="Z194" i="4"/>
  <c r="T194" i="5" s="1"/>
  <c r="AB194" i="4"/>
  <c r="U194" i="5" s="1"/>
  <c r="J162" i="5"/>
  <c r="O162" i="4"/>
  <c r="S162" i="4"/>
  <c r="P162" i="4"/>
  <c r="Z162" i="4"/>
  <c r="T162" i="5" s="1"/>
  <c r="AB162" i="4"/>
  <c r="U162" i="5" s="1"/>
  <c r="J177" i="5"/>
  <c r="O177" i="4"/>
  <c r="S177" i="4"/>
  <c r="Z177" i="4"/>
  <c r="T177" i="5" s="1"/>
  <c r="P177" i="4"/>
  <c r="AB177" i="4"/>
  <c r="U177" i="5" s="1"/>
  <c r="J161" i="5"/>
  <c r="O161" i="4"/>
  <c r="P161" i="4" s="1"/>
  <c r="S161" i="4"/>
  <c r="Z161" i="4"/>
  <c r="T161" i="5" s="1"/>
  <c r="AB161" i="4"/>
  <c r="U161" i="5" s="1"/>
  <c r="J167" i="5"/>
  <c r="O167" i="4"/>
  <c r="P167" i="4" s="1"/>
  <c r="AB167" i="4"/>
  <c r="U167" i="5" s="1"/>
  <c r="S167" i="4"/>
  <c r="Z167" i="4"/>
  <c r="T167" i="5" s="1"/>
  <c r="I165" i="5"/>
  <c r="AE165" i="4"/>
  <c r="V165" i="5" s="1"/>
  <c r="K165" i="4"/>
  <c r="E165" i="5" s="1"/>
  <c r="AF165" i="4"/>
  <c r="W165" i="5" s="1"/>
  <c r="I172" i="5"/>
  <c r="K172" i="4"/>
  <c r="E172" i="5" s="1"/>
  <c r="AE172" i="4"/>
  <c r="V172" i="5" s="1"/>
  <c r="AF172" i="4"/>
  <c r="W172" i="5" s="1"/>
  <c r="I139" i="5"/>
  <c r="AF139" i="4"/>
  <c r="W139" i="5" s="1"/>
  <c r="AE139" i="4"/>
  <c r="V139" i="5" s="1"/>
  <c r="K139" i="4"/>
  <c r="E139" i="5" s="1"/>
  <c r="J126" i="5"/>
  <c r="O126" i="4"/>
  <c r="P126" i="4" s="1"/>
  <c r="Z126" i="4"/>
  <c r="T126" i="5" s="1"/>
  <c r="AB126" i="4"/>
  <c r="U126" i="5" s="1"/>
  <c r="S126" i="4"/>
  <c r="I191" i="5"/>
  <c r="K191" i="4"/>
  <c r="E191" i="5" s="1"/>
  <c r="AE191" i="4"/>
  <c r="V191" i="5" s="1"/>
  <c r="AF191" i="4"/>
  <c r="W191" i="5" s="1"/>
  <c r="I179" i="5"/>
  <c r="AE179" i="4"/>
  <c r="V179" i="5" s="1"/>
  <c r="K179" i="4"/>
  <c r="E179" i="5" s="1"/>
  <c r="AF179" i="4"/>
  <c r="W179" i="5" s="1"/>
  <c r="J86" i="5"/>
  <c r="S86" i="4"/>
  <c r="AB86" i="4"/>
  <c r="U86" i="5" s="1"/>
  <c r="Z86" i="4"/>
  <c r="T86" i="5" s="1"/>
  <c r="O86" i="4"/>
  <c r="P86" i="4" s="1"/>
  <c r="I180" i="5"/>
  <c r="K180" i="4"/>
  <c r="E180" i="5" s="1"/>
  <c r="AF180" i="4"/>
  <c r="W180" i="5" s="1"/>
  <c r="AE180" i="4"/>
  <c r="V180" i="5" s="1"/>
  <c r="S144" i="5"/>
  <c r="AG144" i="4"/>
  <c r="J54" i="5"/>
  <c r="Z54" i="4"/>
  <c r="T54" i="5" s="1"/>
  <c r="P54" i="4"/>
  <c r="O54" i="4"/>
  <c r="S54" i="4"/>
  <c r="AB54" i="4"/>
  <c r="U54" i="5" s="1"/>
  <c r="J42" i="5"/>
  <c r="Z42" i="4"/>
  <c r="T42" i="5" s="1"/>
  <c r="S42" i="4"/>
  <c r="AB42" i="4"/>
  <c r="U42" i="5" s="1"/>
  <c r="O42" i="4"/>
  <c r="P42" i="4" s="1"/>
  <c r="I12" i="5"/>
  <c r="AJ12" i="4"/>
  <c r="AF12" i="4"/>
  <c r="W12" i="5" s="1"/>
  <c r="AE12" i="4"/>
  <c r="V12" i="5" s="1"/>
  <c r="K12" i="4"/>
  <c r="E12" i="5" s="1"/>
  <c r="I46" i="5"/>
  <c r="AE46" i="4"/>
  <c r="V46" i="5" s="1"/>
  <c r="K46" i="4"/>
  <c r="E46" i="5" s="1"/>
  <c r="AF46" i="4"/>
  <c r="W46" i="5" s="1"/>
  <c r="I104" i="5"/>
  <c r="AE104" i="4"/>
  <c r="V104" i="5" s="1"/>
  <c r="K104" i="4"/>
  <c r="E104" i="5" s="1"/>
  <c r="AF104" i="4"/>
  <c r="W104" i="5" s="1"/>
  <c r="S77" i="5"/>
  <c r="AG77" i="4"/>
  <c r="I74" i="5"/>
  <c r="AE74" i="4"/>
  <c r="V74" i="5" s="1"/>
  <c r="K74" i="4"/>
  <c r="E74" i="5" s="1"/>
  <c r="AF74" i="4"/>
  <c r="W74" i="5" s="1"/>
  <c r="J22" i="5"/>
  <c r="Z22" i="4"/>
  <c r="T22" i="5" s="1"/>
  <c r="AB22" i="4"/>
  <c r="U22" i="5" s="1"/>
  <c r="O22" i="4"/>
  <c r="P22" i="4" s="1"/>
  <c r="S22" i="4"/>
  <c r="S133" i="5"/>
  <c r="AG133" i="4"/>
  <c r="S119" i="5"/>
  <c r="AG119" i="4"/>
  <c r="AJ127" i="4"/>
  <c r="S90" i="5"/>
  <c r="AG90" i="4"/>
  <c r="J61" i="5"/>
  <c r="Z61" i="4"/>
  <c r="T61" i="5" s="1"/>
  <c r="O61" i="4"/>
  <c r="P61" i="4" s="1"/>
  <c r="S61" i="4"/>
  <c r="AB61" i="4"/>
  <c r="U61" i="5" s="1"/>
  <c r="J53" i="5"/>
  <c r="Z53" i="4"/>
  <c r="T53" i="5" s="1"/>
  <c r="P53" i="4"/>
  <c r="O53" i="4"/>
  <c r="S53" i="4"/>
  <c r="AB53" i="4"/>
  <c r="U53" i="5" s="1"/>
  <c r="F17" i="3"/>
  <c r="E18" i="3"/>
  <c r="F18" i="3" s="1"/>
  <c r="S58" i="5"/>
  <c r="AG58" i="4"/>
  <c r="J56" i="5"/>
  <c r="Z56" i="4"/>
  <c r="T56" i="5" s="1"/>
  <c r="O56" i="4"/>
  <c r="P56" i="4" s="1"/>
  <c r="S56" i="4"/>
  <c r="AB56" i="4"/>
  <c r="U56" i="5" s="1"/>
  <c r="S10" i="5"/>
  <c r="AG10" i="4"/>
  <c r="S49" i="5"/>
  <c r="AG49" i="4"/>
  <c r="I13" i="5"/>
  <c r="AF13" i="4"/>
  <c r="W13" i="5" s="1"/>
  <c r="K13" i="4"/>
  <c r="E13" i="5" s="1"/>
  <c r="AE13" i="4"/>
  <c r="V13" i="5" s="1"/>
  <c r="J83" i="5"/>
  <c r="S83" i="4"/>
  <c r="AB83" i="4"/>
  <c r="U83" i="5" s="1"/>
  <c r="O83" i="4"/>
  <c r="P83" i="4" s="1"/>
  <c r="Z83" i="4"/>
  <c r="T83" i="5" s="1"/>
  <c r="S39" i="5"/>
  <c r="AG39" i="4"/>
  <c r="S36" i="5"/>
  <c r="AG36" i="4"/>
  <c r="S25" i="5"/>
  <c r="AG25" i="4"/>
  <c r="S43" i="5"/>
  <c r="AG43" i="4"/>
  <c r="S51" i="5"/>
  <c r="AG51" i="4"/>
  <c r="S31" i="5"/>
  <c r="AG31" i="4"/>
  <c r="J178" i="5"/>
  <c r="O178" i="4"/>
  <c r="S178" i="4"/>
  <c r="AB178" i="4"/>
  <c r="U178" i="5" s="1"/>
  <c r="P178" i="4"/>
  <c r="Z178" i="4"/>
  <c r="T178" i="5" s="1"/>
  <c r="I167" i="5"/>
  <c r="K167" i="4"/>
  <c r="E167" i="5" s="1"/>
  <c r="AE167" i="4"/>
  <c r="V167" i="5" s="1"/>
  <c r="AF167" i="4"/>
  <c r="W167" i="5" s="1"/>
  <c r="I147" i="5"/>
  <c r="AJ147" i="4"/>
  <c r="AF147" i="4"/>
  <c r="W147" i="5" s="1"/>
  <c r="AE147" i="4"/>
  <c r="V147" i="5" s="1"/>
  <c r="K147" i="4"/>
  <c r="E147" i="5" s="1"/>
  <c r="J134" i="5"/>
  <c r="O134" i="4"/>
  <c r="P134" i="4" s="1"/>
  <c r="Z134" i="4"/>
  <c r="T134" i="5" s="1"/>
  <c r="S134" i="4"/>
  <c r="AB134" i="4"/>
  <c r="U134" i="5" s="1"/>
  <c r="I146" i="5"/>
  <c r="AF146" i="4"/>
  <c r="W146" i="5" s="1"/>
  <c r="K146" i="4"/>
  <c r="E146" i="5" s="1"/>
  <c r="AE146" i="4"/>
  <c r="V146" i="5" s="1"/>
  <c r="J201" i="5"/>
  <c r="O201" i="4"/>
  <c r="P201" i="4" s="1"/>
  <c r="Z201" i="4"/>
  <c r="T201" i="5" s="1"/>
  <c r="S201" i="4"/>
  <c r="AB201" i="4"/>
  <c r="U201" i="5" s="1"/>
  <c r="J193" i="5"/>
  <c r="O193" i="4"/>
  <c r="Z193" i="4"/>
  <c r="T193" i="5" s="1"/>
  <c r="S193" i="4"/>
  <c r="AB193" i="4"/>
  <c r="U193" i="5" s="1"/>
  <c r="P193" i="4"/>
  <c r="J181" i="5"/>
  <c r="O181" i="4"/>
  <c r="P181" i="4" s="1"/>
  <c r="S181" i="4"/>
  <c r="Z181" i="4"/>
  <c r="T181" i="5" s="1"/>
  <c r="AB181" i="4"/>
  <c r="U181" i="5" s="1"/>
  <c r="I164" i="5"/>
  <c r="K164" i="4"/>
  <c r="E164" i="5" s="1"/>
  <c r="AE164" i="4"/>
  <c r="V164" i="5" s="1"/>
  <c r="AF164" i="4"/>
  <c r="W164" i="5" s="1"/>
  <c r="J168" i="5"/>
  <c r="O168" i="4"/>
  <c r="AB168" i="4"/>
  <c r="U168" i="5" s="1"/>
  <c r="S168" i="4"/>
  <c r="Z168" i="4"/>
  <c r="T168" i="5" s="1"/>
  <c r="P168" i="4"/>
  <c r="I156" i="5"/>
  <c r="K156" i="4"/>
  <c r="E156" i="5" s="1"/>
  <c r="AE156" i="4"/>
  <c r="V156" i="5" s="1"/>
  <c r="AF156" i="4"/>
  <c r="W156" i="5" s="1"/>
  <c r="I188" i="5"/>
  <c r="K188" i="4"/>
  <c r="E188" i="5" s="1"/>
  <c r="AE188" i="4"/>
  <c r="V188" i="5" s="1"/>
  <c r="AF188" i="4"/>
  <c r="W188" i="5" s="1"/>
  <c r="I151" i="5"/>
  <c r="AE151" i="4"/>
  <c r="V151" i="5" s="1"/>
  <c r="AF151" i="4"/>
  <c r="W151" i="5" s="1"/>
  <c r="K151" i="4"/>
  <c r="E151" i="5" s="1"/>
  <c r="J149" i="5"/>
  <c r="O149" i="4"/>
  <c r="P149" i="4" s="1"/>
  <c r="AB149" i="4"/>
  <c r="U149" i="5" s="1"/>
  <c r="S149" i="4"/>
  <c r="Z149" i="4"/>
  <c r="T149" i="5" s="1"/>
  <c r="J179" i="5"/>
  <c r="O179" i="4"/>
  <c r="AB179" i="4"/>
  <c r="U179" i="5" s="1"/>
  <c r="Z179" i="4"/>
  <c r="T179" i="5" s="1"/>
  <c r="P179" i="4"/>
  <c r="S179" i="4"/>
  <c r="J114" i="5"/>
  <c r="O114" i="4"/>
  <c r="P114" i="4" s="1"/>
  <c r="S114" i="4"/>
  <c r="Z114" i="4"/>
  <c r="T114" i="5" s="1"/>
  <c r="AB114" i="4"/>
  <c r="U114" i="5" s="1"/>
  <c r="I102" i="5"/>
  <c r="AF102" i="4"/>
  <c r="W102" i="5" s="1"/>
  <c r="AE102" i="4"/>
  <c r="V102" i="5" s="1"/>
  <c r="K102" i="4"/>
  <c r="E102" i="5" s="1"/>
  <c r="AJ102" i="4"/>
  <c r="J82" i="5"/>
  <c r="S82" i="4"/>
  <c r="AB82" i="4"/>
  <c r="U82" i="5" s="1"/>
  <c r="Z82" i="4"/>
  <c r="T82" i="5" s="1"/>
  <c r="O82" i="4"/>
  <c r="P82" i="4"/>
  <c r="I92" i="5"/>
  <c r="AF92" i="4"/>
  <c r="W92" i="5" s="1"/>
  <c r="AE92" i="4"/>
  <c r="V92" i="5" s="1"/>
  <c r="K92" i="4"/>
  <c r="E92" i="5" s="1"/>
  <c r="AJ92" i="4"/>
  <c r="I114" i="5"/>
  <c r="AF114" i="4"/>
  <c r="W114" i="5" s="1"/>
  <c r="K114" i="4"/>
  <c r="E114" i="5" s="1"/>
  <c r="AE114" i="4"/>
  <c r="V114" i="5" s="1"/>
  <c r="I86" i="5"/>
  <c r="AE86" i="4"/>
  <c r="V86" i="5" s="1"/>
  <c r="K86" i="4"/>
  <c r="E86" i="5" s="1"/>
  <c r="AF86" i="4"/>
  <c r="W86" i="5" s="1"/>
  <c r="J180" i="5"/>
  <c r="O180" i="4"/>
  <c r="Z180" i="4"/>
  <c r="T180" i="5" s="1"/>
  <c r="P180" i="4"/>
  <c r="S180" i="4"/>
  <c r="AB180" i="4"/>
  <c r="U180" i="5" s="1"/>
  <c r="S112" i="5"/>
  <c r="AG112" i="4"/>
  <c r="I95" i="5"/>
  <c r="AF95" i="4"/>
  <c r="W95" i="5" s="1"/>
  <c r="AE95" i="4"/>
  <c r="V95" i="5" s="1"/>
  <c r="K95" i="4"/>
  <c r="E95" i="5" s="1"/>
  <c r="J97" i="5"/>
  <c r="S97" i="4"/>
  <c r="AB97" i="4"/>
  <c r="U97" i="5" s="1"/>
  <c r="Z97" i="4"/>
  <c r="T97" i="5" s="1"/>
  <c r="O97" i="4"/>
  <c r="P97" i="4" s="1"/>
  <c r="I51" i="5"/>
  <c r="AE51" i="4"/>
  <c r="V51" i="5" s="1"/>
  <c r="K51" i="4"/>
  <c r="E51" i="5" s="1"/>
  <c r="AF51" i="4"/>
  <c r="W51" i="5" s="1"/>
  <c r="J38" i="5"/>
  <c r="Z38" i="4"/>
  <c r="T38" i="5" s="1"/>
  <c r="P38" i="4"/>
  <c r="S38" i="4"/>
  <c r="AB38" i="4"/>
  <c r="U38" i="5" s="1"/>
  <c r="O38" i="4"/>
  <c r="J107" i="5"/>
  <c r="O107" i="4"/>
  <c r="P107" i="4" s="1"/>
  <c r="S107" i="4"/>
  <c r="AB107" i="4"/>
  <c r="U107" i="5" s="1"/>
  <c r="Z107" i="4"/>
  <c r="T107" i="5" s="1"/>
  <c r="J131" i="5"/>
  <c r="O131" i="4"/>
  <c r="P131" i="4" s="1"/>
  <c r="S131" i="4"/>
  <c r="Z131" i="4"/>
  <c r="T131" i="5" s="1"/>
  <c r="AB131" i="4"/>
  <c r="U131" i="5" s="1"/>
  <c r="J79" i="5"/>
  <c r="S79" i="4"/>
  <c r="Z79" i="4"/>
  <c r="T79" i="5" s="1"/>
  <c r="O79" i="4"/>
  <c r="P79" i="4" s="1"/>
  <c r="AB79" i="4"/>
  <c r="U79" i="5" s="1"/>
  <c r="I35" i="5"/>
  <c r="AJ35" i="4"/>
  <c r="AE35" i="4"/>
  <c r="V35" i="5" s="1"/>
  <c r="K35" i="4"/>
  <c r="E35" i="5" s="1"/>
  <c r="AF35" i="4"/>
  <c r="W35" i="5" s="1"/>
  <c r="J96" i="5"/>
  <c r="S96" i="4"/>
  <c r="AB96" i="4"/>
  <c r="U96" i="5" s="1"/>
  <c r="Z96" i="4"/>
  <c r="T96" i="5" s="1"/>
  <c r="O96" i="4"/>
  <c r="P96" i="4"/>
  <c r="J74" i="5"/>
  <c r="S74" i="4"/>
  <c r="Z74" i="4"/>
  <c r="T74" i="5" s="1"/>
  <c r="O74" i="4"/>
  <c r="P74" i="4" s="1"/>
  <c r="AB74" i="4"/>
  <c r="U74" i="5" s="1"/>
  <c r="I18" i="5"/>
  <c r="AJ18" i="4"/>
  <c r="K18" i="4"/>
  <c r="E18" i="5" s="1"/>
  <c r="AF18" i="4"/>
  <c r="W18" i="5" s="1"/>
  <c r="AE18" i="4"/>
  <c r="V18" i="5" s="1"/>
  <c r="S95" i="5"/>
  <c r="AG95" i="4"/>
  <c r="AJ95" i="4" s="1"/>
  <c r="J122" i="5"/>
  <c r="O122" i="4"/>
  <c r="S122" i="4"/>
  <c r="P122" i="4"/>
  <c r="AB122" i="4"/>
  <c r="U122" i="5" s="1"/>
  <c r="Z122" i="4"/>
  <c r="T122" i="5" s="1"/>
  <c r="Q121" i="5"/>
  <c r="Q121" i="4"/>
  <c r="R121" i="5" s="1"/>
  <c r="Q111" i="5"/>
  <c r="Q111" i="4"/>
  <c r="R111" i="5" s="1"/>
  <c r="J32" i="5"/>
  <c r="Z32" i="4"/>
  <c r="T32" i="5" s="1"/>
  <c r="P32" i="4"/>
  <c r="S32" i="4"/>
  <c r="O32" i="4"/>
  <c r="AB32" i="4"/>
  <c r="U32" i="5" s="1"/>
  <c r="J64" i="5"/>
  <c r="Z64" i="4"/>
  <c r="T64" i="5" s="1"/>
  <c r="P64" i="4"/>
  <c r="O64" i="4"/>
  <c r="S64" i="4"/>
  <c r="AB64" i="4"/>
  <c r="U64" i="5" s="1"/>
  <c r="S73" i="5"/>
  <c r="AG73" i="4"/>
  <c r="I5" i="5"/>
  <c r="K5" i="4"/>
  <c r="AF5" i="4"/>
  <c r="W5" i="5" s="1"/>
  <c r="AE5" i="4"/>
  <c r="V5" i="5" s="1"/>
  <c r="S87" i="5"/>
  <c r="AG87" i="4"/>
  <c r="S57" i="5"/>
  <c r="AG57" i="4"/>
  <c r="J13" i="5"/>
  <c r="Z13" i="4"/>
  <c r="T13" i="5" s="1"/>
  <c r="S13" i="4"/>
  <c r="AB13" i="4"/>
  <c r="U13" i="5" s="1"/>
  <c r="O13" i="4"/>
  <c r="P13" i="4" s="1"/>
  <c r="I66" i="5"/>
  <c r="AE66" i="4"/>
  <c r="V66" i="5" s="1"/>
  <c r="K66" i="4"/>
  <c r="E66" i="5" s="1"/>
  <c r="AF66" i="4"/>
  <c r="W66" i="5" s="1"/>
  <c r="S93" i="5"/>
  <c r="AG93" i="4"/>
  <c r="S48" i="5"/>
  <c r="AG48" i="4"/>
  <c r="Q43" i="5"/>
  <c r="Q43" i="4"/>
  <c r="R43" i="5" s="1"/>
  <c r="J8" i="5"/>
  <c r="Z8" i="4"/>
  <c r="T8" i="5" s="1"/>
  <c r="O8" i="4"/>
  <c r="P8" i="4" s="1"/>
  <c r="AB8" i="4"/>
  <c r="U8" i="5" s="1"/>
  <c r="S8" i="4"/>
  <c r="C22" i="3"/>
  <c r="D22" i="3" s="1"/>
  <c r="R6" i="4"/>
  <c r="S6" i="4" s="1"/>
  <c r="R5" i="4"/>
  <c r="D19" i="3"/>
  <c r="J195" i="5"/>
  <c r="O195" i="4"/>
  <c r="P195" i="4" s="1"/>
  <c r="S195" i="4"/>
  <c r="AB195" i="4"/>
  <c r="U195" i="5" s="1"/>
  <c r="Z195" i="4"/>
  <c r="T195" i="5" s="1"/>
  <c r="I113" i="5"/>
  <c r="AJ113" i="4"/>
  <c r="AF113" i="4"/>
  <c r="W113" i="5" s="1"/>
  <c r="AE113" i="4"/>
  <c r="V113" i="5" s="1"/>
  <c r="K113" i="4"/>
  <c r="E113" i="5" s="1"/>
  <c r="J130" i="5"/>
  <c r="O130" i="4"/>
  <c r="S130" i="4"/>
  <c r="P130" i="4"/>
  <c r="AB130" i="4"/>
  <c r="U130" i="5" s="1"/>
  <c r="Z130" i="4"/>
  <c r="T130" i="5" s="1"/>
  <c r="J188" i="5"/>
  <c r="O188" i="4"/>
  <c r="P188" i="4" s="1"/>
  <c r="Z188" i="4"/>
  <c r="T188" i="5" s="1"/>
  <c r="AB188" i="4"/>
  <c r="U188" i="5" s="1"/>
  <c r="S188" i="4"/>
  <c r="I159" i="5"/>
  <c r="K159" i="4"/>
  <c r="E159" i="5" s="1"/>
  <c r="AE159" i="4"/>
  <c r="V159" i="5" s="1"/>
  <c r="AF159" i="4"/>
  <c r="W159" i="5" s="1"/>
  <c r="J151" i="5"/>
  <c r="O151" i="4"/>
  <c r="AB151" i="4"/>
  <c r="U151" i="5" s="1"/>
  <c r="P151" i="4"/>
  <c r="S151" i="4"/>
  <c r="Z151" i="4"/>
  <c r="T151" i="5" s="1"/>
  <c r="J191" i="5"/>
  <c r="O191" i="4"/>
  <c r="AB191" i="4"/>
  <c r="U191" i="5" s="1"/>
  <c r="Z191" i="4"/>
  <c r="T191" i="5" s="1"/>
  <c r="P191" i="4"/>
  <c r="S191" i="4"/>
  <c r="S146" i="5"/>
  <c r="AG146" i="4"/>
  <c r="AJ146" i="4" s="1"/>
  <c r="I110" i="5"/>
  <c r="K110" i="4"/>
  <c r="E110" i="5" s="1"/>
  <c r="AE110" i="4"/>
  <c r="V110" i="5" s="1"/>
  <c r="AF110" i="4"/>
  <c r="W110" i="5" s="1"/>
  <c r="J117" i="5"/>
  <c r="O117" i="4"/>
  <c r="AB117" i="4"/>
  <c r="U117" i="5" s="1"/>
  <c r="P117" i="4"/>
  <c r="S117" i="4"/>
  <c r="Z117" i="4"/>
  <c r="T117" i="5" s="1"/>
  <c r="Q143" i="5"/>
  <c r="Q143" i="4"/>
  <c r="R143" i="5" s="1"/>
  <c r="I84" i="5"/>
  <c r="AE84" i="4"/>
  <c r="V84" i="5" s="1"/>
  <c r="K84" i="4"/>
  <c r="E84" i="5" s="1"/>
  <c r="AF84" i="4"/>
  <c r="W84" i="5" s="1"/>
  <c r="J71" i="5"/>
  <c r="S71" i="4"/>
  <c r="AB71" i="4"/>
  <c r="U71" i="5" s="1"/>
  <c r="P71" i="4"/>
  <c r="O71" i="4"/>
  <c r="Z71" i="4"/>
  <c r="T71" i="5" s="1"/>
  <c r="S135" i="5"/>
  <c r="AG135" i="4"/>
  <c r="I109" i="5"/>
  <c r="K109" i="4"/>
  <c r="E109" i="5" s="1"/>
  <c r="AE109" i="4"/>
  <c r="V109" i="5" s="1"/>
  <c r="AF109" i="4"/>
  <c r="W109" i="5" s="1"/>
  <c r="I97" i="5"/>
  <c r="AF97" i="4"/>
  <c r="W97" i="5" s="1"/>
  <c r="AE97" i="4"/>
  <c r="V97" i="5" s="1"/>
  <c r="K97" i="4"/>
  <c r="E97" i="5" s="1"/>
  <c r="Q80" i="5"/>
  <c r="Q80" i="4"/>
  <c r="R80" i="5" s="1"/>
  <c r="J34" i="5"/>
  <c r="Z34" i="4"/>
  <c r="T34" i="5" s="1"/>
  <c r="P34" i="4"/>
  <c r="S34" i="4"/>
  <c r="AB34" i="4"/>
  <c r="U34" i="5" s="1"/>
  <c r="O34" i="4"/>
  <c r="I4" i="5"/>
  <c r="AF4" i="4"/>
  <c r="W4" i="5" s="1"/>
  <c r="AE4" i="4"/>
  <c r="V4" i="5" s="1"/>
  <c r="K4" i="4"/>
  <c r="E4" i="5" s="1"/>
  <c r="Q120" i="5"/>
  <c r="Q120" i="4"/>
  <c r="R120" i="5" s="1"/>
  <c r="I107" i="5"/>
  <c r="AF107" i="4"/>
  <c r="W107" i="5" s="1"/>
  <c r="AE107" i="4"/>
  <c r="V107" i="5" s="1"/>
  <c r="K107" i="4"/>
  <c r="E107" i="5" s="1"/>
  <c r="S84" i="5"/>
  <c r="AG84" i="4"/>
  <c r="I131" i="5"/>
  <c r="AF131" i="4"/>
  <c r="W131" i="5" s="1"/>
  <c r="AE131" i="4"/>
  <c r="V131" i="5" s="1"/>
  <c r="K131" i="4"/>
  <c r="E131" i="5" s="1"/>
  <c r="I60" i="5"/>
  <c r="AJ60" i="4"/>
  <c r="AE60" i="4"/>
  <c r="V60" i="5" s="1"/>
  <c r="K60" i="4"/>
  <c r="E60" i="5" s="1"/>
  <c r="AF60" i="4"/>
  <c r="W60" i="5" s="1"/>
  <c r="I31" i="5"/>
  <c r="AJ31" i="4"/>
  <c r="K31" i="4"/>
  <c r="E31" i="5" s="1"/>
  <c r="AF31" i="4"/>
  <c r="W31" i="5" s="1"/>
  <c r="AE31" i="4"/>
  <c r="V31" i="5" s="1"/>
  <c r="I96" i="5"/>
  <c r="AF96" i="4"/>
  <c r="W96" i="5" s="1"/>
  <c r="AE96" i="4"/>
  <c r="V96" i="5" s="1"/>
  <c r="K96" i="4"/>
  <c r="E96" i="5" s="1"/>
  <c r="J14" i="5"/>
  <c r="Z14" i="4"/>
  <c r="T14" i="5" s="1"/>
  <c r="P14" i="4"/>
  <c r="AB14" i="4"/>
  <c r="U14" i="5" s="1"/>
  <c r="O14" i="4"/>
  <c r="S14" i="4"/>
  <c r="S139" i="5"/>
  <c r="AG139" i="4"/>
  <c r="I122" i="5"/>
  <c r="AF122" i="4"/>
  <c r="W122" i="5" s="1"/>
  <c r="AE122" i="4"/>
  <c r="V122" i="5" s="1"/>
  <c r="K122" i="4"/>
  <c r="E122" i="5" s="1"/>
  <c r="S18" i="5"/>
  <c r="AG18" i="4"/>
  <c r="Q58" i="5"/>
  <c r="Q58" i="4"/>
  <c r="R58" i="5" s="1"/>
  <c r="Q17" i="5"/>
  <c r="Q17" i="4"/>
  <c r="R17" i="5" s="1"/>
  <c r="Q10" i="5"/>
  <c r="Q10" i="4"/>
  <c r="R10" i="5" s="1"/>
  <c r="J5" i="5"/>
  <c r="B209" i="5" s="1"/>
  <c r="Z5" i="4"/>
  <c r="T5" i="5" s="1"/>
  <c r="P5" i="4"/>
  <c r="S5" i="4"/>
  <c r="AB5" i="4"/>
  <c r="U5" i="5" s="1"/>
  <c r="O5" i="4"/>
  <c r="Q49" i="5"/>
  <c r="Q49" i="4"/>
  <c r="R49" i="5" s="1"/>
  <c r="J24" i="5"/>
  <c r="Z24" i="4"/>
  <c r="T24" i="5" s="1"/>
  <c r="O24" i="4"/>
  <c r="P24" i="4" s="1"/>
  <c r="AB24" i="4"/>
  <c r="U24" i="5" s="1"/>
  <c r="S24" i="4"/>
  <c r="J16" i="5"/>
  <c r="Z16" i="4"/>
  <c r="T16" i="5" s="1"/>
  <c r="P16" i="4"/>
  <c r="O16" i="4"/>
  <c r="S16" i="4"/>
  <c r="AB16" i="4"/>
  <c r="U16" i="5" s="1"/>
  <c r="S103" i="5"/>
  <c r="AG103" i="4"/>
  <c r="AJ103" i="4" s="1"/>
  <c r="I83" i="5"/>
  <c r="AE83" i="4"/>
  <c r="V83" i="5" s="1"/>
  <c r="K83" i="4"/>
  <c r="E83" i="5" s="1"/>
  <c r="AF83" i="4"/>
  <c r="W83" i="5" s="1"/>
  <c r="S47" i="5"/>
  <c r="AG47" i="4"/>
  <c r="S44" i="5"/>
  <c r="AG44" i="4"/>
  <c r="Q78" i="5"/>
  <c r="Q78" i="4"/>
  <c r="R78" i="5" s="1"/>
  <c r="S23" i="5"/>
  <c r="AG23" i="4"/>
  <c r="AJ23" i="4" s="1"/>
  <c r="Q51" i="5"/>
  <c r="Q51" i="4"/>
  <c r="R51" i="5" s="1"/>
  <c r="J185" i="5"/>
  <c r="O185" i="4"/>
  <c r="S185" i="4"/>
  <c r="Z185" i="4"/>
  <c r="T185" i="5" s="1"/>
  <c r="P185" i="4"/>
  <c r="AB185" i="4"/>
  <c r="U185" i="5" s="1"/>
  <c r="I168" i="5"/>
  <c r="AF168" i="4"/>
  <c r="W168" i="5" s="1"/>
  <c r="AE168" i="4"/>
  <c r="V168" i="5" s="1"/>
  <c r="K168" i="4"/>
  <c r="E168" i="5" s="1"/>
  <c r="I124" i="5"/>
  <c r="AJ124" i="4"/>
  <c r="AF124" i="4"/>
  <c r="W124" i="5" s="1"/>
  <c r="AE124" i="4"/>
  <c r="V124" i="5" s="1"/>
  <c r="K124" i="4"/>
  <c r="E124" i="5" s="1"/>
  <c r="I142" i="5"/>
  <c r="K142" i="4"/>
  <c r="E142" i="5" s="1"/>
  <c r="AE142" i="4"/>
  <c r="V142" i="5" s="1"/>
  <c r="AF142" i="4"/>
  <c r="W142" i="5" s="1"/>
  <c r="I175" i="5"/>
  <c r="K175" i="4"/>
  <c r="E175" i="5" s="1"/>
  <c r="AF175" i="4"/>
  <c r="W175" i="5" s="1"/>
  <c r="AE175" i="4"/>
  <c r="V175" i="5" s="1"/>
  <c r="J200" i="5"/>
  <c r="O200" i="4"/>
  <c r="P200" i="4" s="1"/>
  <c r="S200" i="4"/>
  <c r="AB200" i="4"/>
  <c r="U200" i="5" s="1"/>
  <c r="Z200" i="4"/>
  <c r="T200" i="5" s="1"/>
  <c r="J192" i="5"/>
  <c r="O192" i="4"/>
  <c r="P192" i="4" s="1"/>
  <c r="AB192" i="4"/>
  <c r="U192" i="5" s="1"/>
  <c r="S192" i="4"/>
  <c r="Z192" i="4"/>
  <c r="T192" i="5" s="1"/>
  <c r="J171" i="5"/>
  <c r="O171" i="4"/>
  <c r="P171" i="4" s="1"/>
  <c r="AB171" i="4"/>
  <c r="U171" i="5" s="1"/>
  <c r="S171" i="4"/>
  <c r="Z171" i="4"/>
  <c r="T171" i="5" s="1"/>
  <c r="I163" i="5"/>
  <c r="K163" i="4"/>
  <c r="E163" i="5" s="1"/>
  <c r="AE163" i="4"/>
  <c r="V163" i="5" s="1"/>
  <c r="AF163" i="4"/>
  <c r="W163" i="5" s="1"/>
  <c r="I133" i="5"/>
  <c r="K133" i="4"/>
  <c r="E133" i="5" s="1"/>
  <c r="AJ133" i="4"/>
  <c r="AF133" i="4"/>
  <c r="W133" i="5" s="1"/>
  <c r="AE133" i="4"/>
  <c r="V133" i="5" s="1"/>
  <c r="I115" i="5"/>
  <c r="AJ115" i="4"/>
  <c r="AF115" i="4"/>
  <c r="W115" i="5" s="1"/>
  <c r="AE115" i="4"/>
  <c r="V115" i="5" s="1"/>
  <c r="K115" i="4"/>
  <c r="E115" i="5" s="1"/>
  <c r="J187" i="5"/>
  <c r="O187" i="4"/>
  <c r="AB187" i="4"/>
  <c r="U187" i="5" s="1"/>
  <c r="Z187" i="4"/>
  <c r="T187" i="5" s="1"/>
  <c r="S187" i="4"/>
  <c r="P187" i="4"/>
  <c r="J163" i="5"/>
  <c r="O163" i="4"/>
  <c r="P163" i="4"/>
  <c r="AB163" i="4"/>
  <c r="U163" i="5" s="1"/>
  <c r="Z163" i="4"/>
  <c r="T163" i="5" s="1"/>
  <c r="S163" i="4"/>
  <c r="J199" i="5"/>
  <c r="O199" i="4"/>
  <c r="AB199" i="4"/>
  <c r="U199" i="5" s="1"/>
  <c r="P199" i="4"/>
  <c r="Z199" i="4"/>
  <c r="T199" i="5" s="1"/>
  <c r="S199" i="4"/>
  <c r="J190" i="5"/>
  <c r="O190" i="4"/>
  <c r="P190" i="4" s="1"/>
  <c r="S190" i="4"/>
  <c r="AB190" i="4"/>
  <c r="U190" i="5" s="1"/>
  <c r="Z190" i="4"/>
  <c r="T190" i="5" s="1"/>
  <c r="J182" i="5"/>
  <c r="O182" i="4"/>
  <c r="P182" i="4" s="1"/>
  <c r="S182" i="4"/>
  <c r="AB182" i="4"/>
  <c r="U182" i="5" s="1"/>
  <c r="Z182" i="4"/>
  <c r="T182" i="5" s="1"/>
  <c r="J189" i="5"/>
  <c r="O189" i="4"/>
  <c r="P189" i="4" s="1"/>
  <c r="S189" i="4"/>
  <c r="AB189" i="4"/>
  <c r="U189" i="5" s="1"/>
  <c r="Z189" i="4"/>
  <c r="T189" i="5" s="1"/>
  <c r="AI136" i="4"/>
  <c r="I187" i="5"/>
  <c r="AE187" i="4"/>
  <c r="V187" i="5" s="1"/>
  <c r="K187" i="4"/>
  <c r="E187" i="5" s="1"/>
  <c r="AF187" i="4"/>
  <c r="W187" i="5" s="1"/>
  <c r="I166" i="5"/>
  <c r="AF166" i="4"/>
  <c r="W166" i="5" s="1"/>
  <c r="AE166" i="4"/>
  <c r="V166" i="5" s="1"/>
  <c r="K166" i="4"/>
  <c r="E166" i="5" s="1"/>
  <c r="I176" i="5"/>
  <c r="AE176" i="4"/>
  <c r="V176" i="5" s="1"/>
  <c r="AF176" i="4"/>
  <c r="W176" i="5" s="1"/>
  <c r="K176" i="4"/>
  <c r="E176" i="5" s="1"/>
  <c r="I148" i="5"/>
  <c r="AJ148" i="4"/>
  <c r="AF148" i="4"/>
  <c r="W148" i="5" s="1"/>
  <c r="AE148" i="4"/>
  <c r="V148" i="5" s="1"/>
  <c r="K148" i="4"/>
  <c r="E148" i="5" s="1"/>
  <c r="J132" i="5"/>
  <c r="O132" i="4"/>
  <c r="AB132" i="4"/>
  <c r="U132" i="5" s="1"/>
  <c r="S132" i="4"/>
  <c r="P132" i="4"/>
  <c r="Z132" i="4"/>
  <c r="T132" i="5" s="1"/>
  <c r="I130" i="5"/>
  <c r="AF130" i="4"/>
  <c r="W130" i="5" s="1"/>
  <c r="AE130" i="4"/>
  <c r="V130" i="5" s="1"/>
  <c r="K130" i="4"/>
  <c r="E130" i="5" s="1"/>
  <c r="S124" i="5"/>
  <c r="AG124" i="4"/>
  <c r="J159" i="5"/>
  <c r="O159" i="4"/>
  <c r="AB159" i="4"/>
  <c r="U159" i="5" s="1"/>
  <c r="Z159" i="4"/>
  <c r="T159" i="5" s="1"/>
  <c r="P159" i="4"/>
  <c r="S159" i="4"/>
  <c r="J110" i="5"/>
  <c r="O110" i="4"/>
  <c r="P110" i="4" s="1"/>
  <c r="Z110" i="4"/>
  <c r="T110" i="5" s="1"/>
  <c r="AB110" i="4"/>
  <c r="U110" i="5" s="1"/>
  <c r="S110" i="4"/>
  <c r="J99" i="5"/>
  <c r="S99" i="4"/>
  <c r="AB99" i="4"/>
  <c r="U99" i="5" s="1"/>
  <c r="Z99" i="4"/>
  <c r="T99" i="5" s="1"/>
  <c r="O99" i="4"/>
  <c r="P99" i="4"/>
  <c r="J150" i="5"/>
  <c r="O150" i="4"/>
  <c r="P150" i="4" s="1"/>
  <c r="Z150" i="4"/>
  <c r="T150" i="5" s="1"/>
  <c r="AB150" i="4"/>
  <c r="U150" i="5" s="1"/>
  <c r="S150" i="4"/>
  <c r="I71" i="5"/>
  <c r="AE71" i="4"/>
  <c r="V71" i="5" s="1"/>
  <c r="K71" i="4"/>
  <c r="E71" i="5" s="1"/>
  <c r="AF71" i="4"/>
  <c r="W71" i="5" s="1"/>
  <c r="I158" i="5"/>
  <c r="K158" i="4"/>
  <c r="E158" i="5" s="1"/>
  <c r="AF158" i="4"/>
  <c r="W158" i="5" s="1"/>
  <c r="AE158" i="4"/>
  <c r="V158" i="5" s="1"/>
  <c r="J109" i="5"/>
  <c r="O109" i="4"/>
  <c r="P109" i="4" s="1"/>
  <c r="AB109" i="4"/>
  <c r="U109" i="5" s="1"/>
  <c r="Z109" i="4"/>
  <c r="T109" i="5" s="1"/>
  <c r="S109" i="4"/>
  <c r="Q88" i="5"/>
  <c r="Q88" i="4"/>
  <c r="R88" i="5" s="1"/>
  <c r="J62" i="5"/>
  <c r="Z62" i="4"/>
  <c r="T62" i="5" s="1"/>
  <c r="P62" i="4"/>
  <c r="O62" i="4"/>
  <c r="S62" i="4"/>
  <c r="AB62" i="4"/>
  <c r="U62" i="5" s="1"/>
  <c r="I98" i="5"/>
  <c r="AF98" i="4"/>
  <c r="W98" i="5" s="1"/>
  <c r="AE98" i="4"/>
  <c r="V98" i="5" s="1"/>
  <c r="K98" i="4"/>
  <c r="E98" i="5" s="1"/>
  <c r="AJ98" i="4"/>
  <c r="I93" i="5"/>
  <c r="AF93" i="4"/>
  <c r="W93" i="5" s="1"/>
  <c r="AE93" i="4"/>
  <c r="V93" i="5" s="1"/>
  <c r="K93" i="4"/>
  <c r="E93" i="5" s="1"/>
  <c r="AJ93" i="4"/>
  <c r="I47" i="5"/>
  <c r="AJ47" i="4"/>
  <c r="AE47" i="4"/>
  <c r="V47" i="5" s="1"/>
  <c r="K47" i="4"/>
  <c r="E47" i="5" s="1"/>
  <c r="AF47" i="4"/>
  <c r="W47" i="5" s="1"/>
  <c r="I23" i="5"/>
  <c r="K23" i="4"/>
  <c r="E23" i="5" s="1"/>
  <c r="AF23" i="4"/>
  <c r="W23" i="5" s="1"/>
  <c r="AE23" i="4"/>
  <c r="V23" i="5" s="1"/>
  <c r="J116" i="5"/>
  <c r="O116" i="4"/>
  <c r="AB116" i="4"/>
  <c r="U116" i="5" s="1"/>
  <c r="P116" i="4"/>
  <c r="Z116" i="4"/>
  <c r="T116" i="5" s="1"/>
  <c r="S116" i="4"/>
  <c r="Q102" i="5"/>
  <c r="Q102" i="4"/>
  <c r="R102" i="5" s="1"/>
  <c r="I10" i="5"/>
  <c r="AJ10" i="4"/>
  <c r="K10" i="4"/>
  <c r="E10" i="5" s="1"/>
  <c r="AE10" i="4"/>
  <c r="V10" i="5" s="1"/>
  <c r="AF10" i="4"/>
  <c r="W10" i="5" s="1"/>
  <c r="J45" i="5"/>
  <c r="Z45" i="4"/>
  <c r="T45" i="5" s="1"/>
  <c r="S45" i="4"/>
  <c r="AB45" i="4"/>
  <c r="U45" i="5" s="1"/>
  <c r="O45" i="4"/>
  <c r="P45" i="4" s="1"/>
  <c r="J55" i="5"/>
  <c r="Z55" i="4"/>
  <c r="T55" i="5" s="1"/>
  <c r="P55" i="4"/>
  <c r="O55" i="4"/>
  <c r="S55" i="4"/>
  <c r="AB55" i="4"/>
  <c r="U55" i="5" s="1"/>
  <c r="I69" i="5"/>
  <c r="AE69" i="4"/>
  <c r="V69" i="5" s="1"/>
  <c r="K69" i="4"/>
  <c r="E69" i="5" s="1"/>
  <c r="AF69" i="4"/>
  <c r="W69" i="5" s="1"/>
  <c r="Q65" i="5"/>
  <c r="Q65" i="4"/>
  <c r="R65" i="5" s="1"/>
  <c r="Q44" i="5"/>
  <c r="Q44" i="4"/>
  <c r="R44" i="5" s="1"/>
  <c r="S78" i="5"/>
  <c r="AG78" i="4"/>
  <c r="S35" i="5"/>
  <c r="AG35" i="4"/>
  <c r="Q137" i="5" l="1"/>
  <c r="Q137" i="4"/>
  <c r="R137" i="5" s="1"/>
  <c r="Q72" i="5"/>
  <c r="Q72" i="4"/>
  <c r="R72" i="5" s="1"/>
  <c r="Q79" i="5"/>
  <c r="Q79" i="4"/>
  <c r="R79" i="5" s="1"/>
  <c r="Q203" i="5"/>
  <c r="Q203" i="4"/>
  <c r="R203" i="5" s="1"/>
  <c r="Q160" i="5"/>
  <c r="Q160" i="4"/>
  <c r="R160" i="5" s="1"/>
  <c r="Q110" i="5"/>
  <c r="Q110" i="4"/>
  <c r="R110" i="5" s="1"/>
  <c r="Q196" i="5"/>
  <c r="Q196" i="4"/>
  <c r="R196" i="5" s="1"/>
  <c r="Q189" i="5"/>
  <c r="Q189" i="4"/>
  <c r="R189" i="5" s="1"/>
  <c r="S6" i="5"/>
  <c r="AG6" i="4"/>
  <c r="Q150" i="5"/>
  <c r="Q150" i="4"/>
  <c r="R150" i="5" s="1"/>
  <c r="Q192" i="5"/>
  <c r="Q192" i="4"/>
  <c r="R192" i="5" s="1"/>
  <c r="Q188" i="5"/>
  <c r="Q188" i="4"/>
  <c r="R188" i="5" s="1"/>
  <c r="Q195" i="5"/>
  <c r="Q195" i="4"/>
  <c r="R195" i="5" s="1"/>
  <c r="Q8" i="5"/>
  <c r="Q8" i="4"/>
  <c r="R8" i="5" s="1"/>
  <c r="Q134" i="5"/>
  <c r="Q134" i="4"/>
  <c r="R134" i="5" s="1"/>
  <c r="Q142" i="5"/>
  <c r="Q142" i="4"/>
  <c r="R142" i="5" s="1"/>
  <c r="Q19" i="5"/>
  <c r="Q19" i="4"/>
  <c r="R19" i="5" s="1"/>
  <c r="Q41" i="5"/>
  <c r="Q41" i="4"/>
  <c r="R41" i="5" s="1"/>
  <c r="Q101" i="5"/>
  <c r="Q101" i="4"/>
  <c r="R101" i="5" s="1"/>
  <c r="Q85" i="5"/>
  <c r="Q85" i="4"/>
  <c r="R85" i="5" s="1"/>
  <c r="Q123" i="5"/>
  <c r="Q123" i="4"/>
  <c r="R123" i="5" s="1"/>
  <c r="Q153" i="5"/>
  <c r="Q153" i="4"/>
  <c r="R153" i="5" s="1"/>
  <c r="Q170" i="5"/>
  <c r="Q170" i="4"/>
  <c r="R170" i="5" s="1"/>
  <c r="Q182" i="5"/>
  <c r="Q182" i="4"/>
  <c r="R182" i="5" s="1"/>
  <c r="Q46" i="5"/>
  <c r="Q46" i="4"/>
  <c r="R46" i="5" s="1"/>
  <c r="Q184" i="5"/>
  <c r="Q184" i="4"/>
  <c r="R184" i="5" s="1"/>
  <c r="Q97" i="5"/>
  <c r="Q97" i="4"/>
  <c r="R97" i="5" s="1"/>
  <c r="Q183" i="5"/>
  <c r="Q183" i="4"/>
  <c r="R183" i="5" s="1"/>
  <c r="Q109" i="5"/>
  <c r="Q109" i="4"/>
  <c r="R109" i="5" s="1"/>
  <c r="Q140" i="5"/>
  <c r="Q140" i="4"/>
  <c r="R140" i="5" s="1"/>
  <c r="Q154" i="5"/>
  <c r="Q154" i="4"/>
  <c r="R154" i="5" s="1"/>
  <c r="Q56" i="5"/>
  <c r="Q56" i="4"/>
  <c r="R56" i="5" s="1"/>
  <c r="Q200" i="5"/>
  <c r="Q200" i="4"/>
  <c r="R200" i="5" s="1"/>
  <c r="Q13" i="5"/>
  <c r="Q13" i="4"/>
  <c r="R13" i="5" s="1"/>
  <c r="Q42" i="5"/>
  <c r="Q42" i="4"/>
  <c r="R42" i="5" s="1"/>
  <c r="Q194" i="5"/>
  <c r="Q194" i="4"/>
  <c r="R194" i="5" s="1"/>
  <c r="Q155" i="5"/>
  <c r="Q155" i="4"/>
  <c r="R155" i="5" s="1"/>
  <c r="Q186" i="5"/>
  <c r="Q186" i="4"/>
  <c r="R186" i="5" s="1"/>
  <c r="Q89" i="5"/>
  <c r="Q89" i="4"/>
  <c r="R89" i="5" s="1"/>
  <c r="Q29" i="5"/>
  <c r="Q29" i="4"/>
  <c r="R29" i="5" s="1"/>
  <c r="Q172" i="5"/>
  <c r="Q172" i="4"/>
  <c r="R172" i="5" s="1"/>
  <c r="Q149" i="5"/>
  <c r="Q149" i="4"/>
  <c r="R149" i="5" s="1"/>
  <c r="Q11" i="5"/>
  <c r="Q11" i="4"/>
  <c r="R11" i="5" s="1"/>
  <c r="Q63" i="5"/>
  <c r="Q63" i="4"/>
  <c r="R63" i="5" s="1"/>
  <c r="Q74" i="5"/>
  <c r="Q74" i="4"/>
  <c r="R74" i="5" s="1"/>
  <c r="Q45" i="5"/>
  <c r="Q45" i="4"/>
  <c r="R45" i="5" s="1"/>
  <c r="Q107" i="5"/>
  <c r="Q107" i="4"/>
  <c r="R107" i="5" s="1"/>
  <c r="Q114" i="5"/>
  <c r="Q114" i="4"/>
  <c r="R114" i="5" s="1"/>
  <c r="Q83" i="5"/>
  <c r="Q83" i="4"/>
  <c r="R83" i="5" s="1"/>
  <c r="Q22" i="5"/>
  <c r="Q22" i="4"/>
  <c r="R22" i="5" s="1"/>
  <c r="Q86" i="5"/>
  <c r="Q86" i="4"/>
  <c r="R86" i="5" s="1"/>
  <c r="Q126" i="5"/>
  <c r="Q126" i="4"/>
  <c r="R126" i="5" s="1"/>
  <c r="Q164" i="5"/>
  <c r="Q164" i="4"/>
  <c r="R164" i="5" s="1"/>
  <c r="Q69" i="5"/>
  <c r="Q69" i="4"/>
  <c r="R69" i="5" s="1"/>
  <c r="Q131" i="5"/>
  <c r="Q131" i="4"/>
  <c r="R131" i="5" s="1"/>
  <c r="Q106" i="5"/>
  <c r="Q106" i="4"/>
  <c r="R106" i="5" s="1"/>
  <c r="Q165" i="5"/>
  <c r="Q165" i="4"/>
  <c r="R165" i="5" s="1"/>
  <c r="Q171" i="5"/>
  <c r="Q171" i="4"/>
  <c r="R171" i="5" s="1"/>
  <c r="Q61" i="5"/>
  <c r="Q61" i="4"/>
  <c r="R61" i="5" s="1"/>
  <c r="Q175" i="5"/>
  <c r="Q175" i="4"/>
  <c r="R175" i="5" s="1"/>
  <c r="Q37" i="5"/>
  <c r="Q37" i="4"/>
  <c r="R37" i="5" s="1"/>
  <c r="Q181" i="5"/>
  <c r="Q181" i="4"/>
  <c r="R181" i="5" s="1"/>
  <c r="Q161" i="5"/>
  <c r="Q161" i="4"/>
  <c r="R161" i="5" s="1"/>
  <c r="Q66" i="5"/>
  <c r="Q66" i="4"/>
  <c r="R66" i="5" s="1"/>
  <c r="Q152" i="5"/>
  <c r="Q152" i="4"/>
  <c r="R152" i="5" s="1"/>
  <c r="Q156" i="5"/>
  <c r="Q156" i="4"/>
  <c r="R156" i="5" s="1"/>
  <c r="Q190" i="5"/>
  <c r="Q190" i="4"/>
  <c r="R190" i="5" s="1"/>
  <c r="Q24" i="5"/>
  <c r="Q24" i="4"/>
  <c r="R24" i="5" s="1"/>
  <c r="Q201" i="5"/>
  <c r="Q201" i="4"/>
  <c r="R201" i="5" s="1"/>
  <c r="Q167" i="5"/>
  <c r="Q167" i="4"/>
  <c r="R167" i="5" s="1"/>
  <c r="Q81" i="5"/>
  <c r="Q81" i="4"/>
  <c r="R81" i="5" s="1"/>
  <c r="Q145" i="5"/>
  <c r="Q145" i="4"/>
  <c r="R145" i="5" s="1"/>
  <c r="S185" i="5"/>
  <c r="AG185" i="4"/>
  <c r="S55" i="5"/>
  <c r="AG55" i="4"/>
  <c r="S45" i="5"/>
  <c r="AG45" i="4"/>
  <c r="S62" i="5"/>
  <c r="AG62" i="4"/>
  <c r="S150" i="5"/>
  <c r="AG150" i="4"/>
  <c r="Q55" i="5"/>
  <c r="Q55" i="4"/>
  <c r="R55" i="5" s="1"/>
  <c r="Q62" i="5"/>
  <c r="Q62" i="4"/>
  <c r="R62" i="5" s="1"/>
  <c r="S182" i="5"/>
  <c r="AG182" i="4"/>
  <c r="S171" i="5"/>
  <c r="AG171" i="4"/>
  <c r="S200" i="5"/>
  <c r="AG200" i="4"/>
  <c r="S191" i="5"/>
  <c r="AG191" i="4"/>
  <c r="S151" i="5"/>
  <c r="AG151" i="4"/>
  <c r="Q32" i="5"/>
  <c r="Q32" i="4"/>
  <c r="R32" i="5" s="1"/>
  <c r="S38" i="5"/>
  <c r="AG38" i="4"/>
  <c r="S180" i="5"/>
  <c r="AG180" i="4"/>
  <c r="S179" i="5"/>
  <c r="AG179" i="4"/>
  <c r="S149" i="5"/>
  <c r="AG149" i="4"/>
  <c r="Q193" i="5"/>
  <c r="Q193" i="4"/>
  <c r="R193" i="5" s="1"/>
  <c r="S178" i="5"/>
  <c r="AG178" i="4"/>
  <c r="X43" i="5"/>
  <c r="AH43" i="4"/>
  <c r="AI43" i="4"/>
  <c r="Q53" i="5"/>
  <c r="Q53" i="4"/>
  <c r="R53" i="5" s="1"/>
  <c r="S86" i="5"/>
  <c r="AG86" i="4"/>
  <c r="S202" i="5"/>
  <c r="AG202" i="4"/>
  <c r="X143" i="5"/>
  <c r="AJ143" i="4"/>
  <c r="AI143" i="4"/>
  <c r="AH143" i="4"/>
  <c r="S155" i="5"/>
  <c r="AG155" i="4"/>
  <c r="S66" i="5"/>
  <c r="AG66" i="4"/>
  <c r="X121" i="5"/>
  <c r="AJ121" i="4"/>
  <c r="AI121" i="4"/>
  <c r="AH121" i="4"/>
  <c r="X12" i="5"/>
  <c r="AI12" i="4"/>
  <c r="AH12" i="4"/>
  <c r="X33" i="5"/>
  <c r="AI33" i="4"/>
  <c r="AH33" i="4"/>
  <c r="AJ33" i="4"/>
  <c r="Q21" i="5"/>
  <c r="Q21" i="4"/>
  <c r="R21" i="5" s="1"/>
  <c r="S37" i="5"/>
  <c r="AG37" i="4"/>
  <c r="X115" i="5"/>
  <c r="AI115" i="4"/>
  <c r="AH115" i="4"/>
  <c r="S184" i="5"/>
  <c r="AG184" i="4"/>
  <c r="Q197" i="5"/>
  <c r="Q197" i="4"/>
  <c r="R197" i="5" s="1"/>
  <c r="Q198" i="5"/>
  <c r="Q198" i="4"/>
  <c r="R198" i="5" s="1"/>
  <c r="S63" i="5"/>
  <c r="AG63" i="4"/>
  <c r="S72" i="5"/>
  <c r="AG72" i="4"/>
  <c r="S106" i="5"/>
  <c r="AG106" i="4"/>
  <c r="S176" i="5"/>
  <c r="AG176" i="4"/>
  <c r="X78" i="5"/>
  <c r="AI78" i="4"/>
  <c r="AJ78" i="4"/>
  <c r="AH78" i="4"/>
  <c r="X84" i="5"/>
  <c r="AI84" i="4"/>
  <c r="AH84" i="4"/>
  <c r="S71" i="5"/>
  <c r="AG71" i="4"/>
  <c r="Q191" i="5"/>
  <c r="Q191" i="4"/>
  <c r="R191" i="5" s="1"/>
  <c r="Q151" i="5"/>
  <c r="Q151" i="4"/>
  <c r="R151" i="5" s="1"/>
  <c r="S195" i="5"/>
  <c r="AG195" i="4"/>
  <c r="S8" i="5"/>
  <c r="AG8" i="4"/>
  <c r="Q64" i="5"/>
  <c r="Q64" i="4"/>
  <c r="R64" i="5" s="1"/>
  <c r="S96" i="5"/>
  <c r="AG96" i="4"/>
  <c r="Q38" i="5"/>
  <c r="Q38" i="4"/>
  <c r="R38" i="5" s="1"/>
  <c r="Q180" i="5"/>
  <c r="Q180" i="4"/>
  <c r="R180" i="5" s="1"/>
  <c r="Q179" i="5"/>
  <c r="Q179" i="4"/>
  <c r="R179" i="5" s="1"/>
  <c r="S201" i="5"/>
  <c r="AG201" i="4"/>
  <c r="S42" i="5"/>
  <c r="AG42" i="4"/>
  <c r="Q54" i="5"/>
  <c r="Q54" i="4"/>
  <c r="R54" i="5" s="1"/>
  <c r="Q177" i="5"/>
  <c r="Q177" i="4"/>
  <c r="R177" i="5" s="1"/>
  <c r="Q162" i="5"/>
  <c r="Q162" i="4"/>
  <c r="R162" i="5" s="1"/>
  <c r="S194" i="5"/>
  <c r="AG194" i="4"/>
  <c r="S175" i="5"/>
  <c r="AG175" i="4"/>
  <c r="S142" i="5"/>
  <c r="AG142" i="4"/>
  <c r="Q174" i="5"/>
  <c r="Q174" i="4"/>
  <c r="R174" i="5" s="1"/>
  <c r="Q30" i="5"/>
  <c r="Q30" i="4"/>
  <c r="R30" i="5" s="1"/>
  <c r="X129" i="5"/>
  <c r="AI129" i="4"/>
  <c r="AH129" i="4"/>
  <c r="AJ129" i="4"/>
  <c r="S156" i="5"/>
  <c r="AG156" i="4"/>
  <c r="X70" i="5"/>
  <c r="AI70" i="4"/>
  <c r="AJ70" i="4"/>
  <c r="AH70" i="4"/>
  <c r="X113" i="5"/>
  <c r="AI113" i="4"/>
  <c r="AH113" i="4"/>
  <c r="S198" i="5"/>
  <c r="AG198" i="4"/>
  <c r="S81" i="5"/>
  <c r="AG81" i="4"/>
  <c r="X76" i="5"/>
  <c r="AI76" i="4"/>
  <c r="AH76" i="4"/>
  <c r="AJ76" i="4"/>
  <c r="X67" i="5"/>
  <c r="AI67" i="4"/>
  <c r="AH67" i="4"/>
  <c r="AJ67" i="4"/>
  <c r="S163" i="5"/>
  <c r="AG163" i="4"/>
  <c r="S187" i="5"/>
  <c r="AG187" i="4"/>
  <c r="S5" i="5"/>
  <c r="AG5" i="4"/>
  <c r="Q14" i="5"/>
  <c r="Q14" i="4"/>
  <c r="R14" i="5" s="1"/>
  <c r="S34" i="5"/>
  <c r="AG34" i="4"/>
  <c r="X135" i="5"/>
  <c r="AH135" i="4"/>
  <c r="AJ135" i="4"/>
  <c r="AI135" i="4"/>
  <c r="X48" i="5"/>
  <c r="AJ48" i="4"/>
  <c r="AH48" i="4"/>
  <c r="AI48" i="4"/>
  <c r="X57" i="5"/>
  <c r="AH57" i="4"/>
  <c r="AJ57" i="4"/>
  <c r="AI57" i="4"/>
  <c r="Q122" i="5"/>
  <c r="Q122" i="4"/>
  <c r="R122" i="5" s="1"/>
  <c r="S74" i="5"/>
  <c r="AG74" i="4"/>
  <c r="S107" i="5"/>
  <c r="AG107" i="4"/>
  <c r="S82" i="5"/>
  <c r="AG82" i="4"/>
  <c r="S193" i="5"/>
  <c r="AG193" i="4"/>
  <c r="X25" i="5"/>
  <c r="AH25" i="4"/>
  <c r="AI25" i="4"/>
  <c r="AJ25" i="4"/>
  <c r="S56" i="5"/>
  <c r="AG56" i="4"/>
  <c r="E19" i="3"/>
  <c r="X90" i="5"/>
  <c r="AI90" i="4"/>
  <c r="AH90" i="4"/>
  <c r="S22" i="5"/>
  <c r="AG22" i="4"/>
  <c r="S162" i="5"/>
  <c r="AG162" i="4"/>
  <c r="X26" i="5"/>
  <c r="AI26" i="4"/>
  <c r="AH26" i="4"/>
  <c r="S27" i="5"/>
  <c r="AG27" i="4"/>
  <c r="AJ26" i="4"/>
  <c r="S196" i="5"/>
  <c r="AG196" i="4"/>
  <c r="X28" i="5"/>
  <c r="AI28" i="4"/>
  <c r="AH28" i="4"/>
  <c r="X50" i="5"/>
  <c r="AJ50" i="4"/>
  <c r="AI50" i="4"/>
  <c r="AH50" i="4"/>
  <c r="X138" i="5"/>
  <c r="AI138" i="4"/>
  <c r="AH138" i="4"/>
  <c r="S137" i="5"/>
  <c r="AG137" i="4"/>
  <c r="X148" i="5"/>
  <c r="AH148" i="4"/>
  <c r="AI148" i="4"/>
  <c r="X15" i="5"/>
  <c r="AI15" i="4"/>
  <c r="AH15" i="4"/>
  <c r="X65" i="5"/>
  <c r="AH65" i="4"/>
  <c r="AI65" i="4"/>
  <c r="AJ65" i="4"/>
  <c r="AJ43" i="4"/>
  <c r="X147" i="5"/>
  <c r="AI147" i="4"/>
  <c r="AH147" i="4"/>
  <c r="S197" i="5"/>
  <c r="AG197" i="4"/>
  <c r="X40" i="5"/>
  <c r="AI40" i="4"/>
  <c r="AH40" i="4"/>
  <c r="AJ40" i="4"/>
  <c r="AJ28" i="4"/>
  <c r="S189" i="5"/>
  <c r="AG189" i="4"/>
  <c r="Q187" i="5"/>
  <c r="Q187" i="4"/>
  <c r="R187" i="5" s="1"/>
  <c r="Q185" i="5"/>
  <c r="Q185" i="4"/>
  <c r="R185" i="5" s="1"/>
  <c r="S16" i="5"/>
  <c r="AG16" i="4"/>
  <c r="S99" i="5"/>
  <c r="AG99" i="4"/>
  <c r="Q132" i="5"/>
  <c r="Q132" i="4"/>
  <c r="R132" i="5" s="1"/>
  <c r="Q116" i="5"/>
  <c r="Q116" i="4"/>
  <c r="R116" i="5" s="1"/>
  <c r="Q34" i="5"/>
  <c r="Q34" i="4"/>
  <c r="R34" i="5" s="1"/>
  <c r="S117" i="5"/>
  <c r="AG117" i="4"/>
  <c r="S188" i="5"/>
  <c r="AG188" i="4"/>
  <c r="X73" i="5"/>
  <c r="AI73" i="4"/>
  <c r="AH73" i="4"/>
  <c r="S122" i="5"/>
  <c r="AG122" i="4"/>
  <c r="S131" i="5"/>
  <c r="AG131" i="4"/>
  <c r="S177" i="5"/>
  <c r="AG177" i="4"/>
  <c r="Q91" i="5"/>
  <c r="Q91" i="4"/>
  <c r="R91" i="5" s="1"/>
  <c r="X52" i="5"/>
  <c r="AI52" i="4"/>
  <c r="AH52" i="4"/>
  <c r="X68" i="5"/>
  <c r="AI68" i="4"/>
  <c r="AJ68" i="4"/>
  <c r="AH68" i="4"/>
  <c r="S104" i="5"/>
  <c r="AG104" i="4"/>
  <c r="S46" i="5"/>
  <c r="AG46" i="4"/>
  <c r="S11" i="5"/>
  <c r="AG11" i="4"/>
  <c r="S85" i="5"/>
  <c r="AG85" i="4"/>
  <c r="S170" i="5"/>
  <c r="AG170" i="4"/>
  <c r="X98" i="5"/>
  <c r="AI98" i="4"/>
  <c r="AH98" i="4"/>
  <c r="X92" i="5"/>
  <c r="AI92" i="4"/>
  <c r="AH92" i="4"/>
  <c r="S158" i="5"/>
  <c r="AG158" i="4"/>
  <c r="S108" i="5"/>
  <c r="AG108" i="4"/>
  <c r="S116" i="5"/>
  <c r="AG116" i="4"/>
  <c r="X23" i="5"/>
  <c r="AI23" i="4"/>
  <c r="AH23" i="4"/>
  <c r="Q5" i="5"/>
  <c r="Q5" i="4"/>
  <c r="R5" i="5" s="1"/>
  <c r="AJ84" i="4"/>
  <c r="X93" i="5"/>
  <c r="AI93" i="4"/>
  <c r="AH93" i="4"/>
  <c r="X87" i="5"/>
  <c r="AI87" i="4"/>
  <c r="AH87" i="4"/>
  <c r="Q96" i="5"/>
  <c r="Q96" i="4"/>
  <c r="R96" i="5" s="1"/>
  <c r="S181" i="5"/>
  <c r="AG181" i="4"/>
  <c r="X31" i="5"/>
  <c r="AI31" i="4"/>
  <c r="AH31" i="4"/>
  <c r="X36" i="5"/>
  <c r="AI36" i="4"/>
  <c r="AH36" i="4"/>
  <c r="AJ36" i="4"/>
  <c r="X49" i="5"/>
  <c r="AH49" i="4"/>
  <c r="AI49" i="4"/>
  <c r="AJ49" i="4"/>
  <c r="X144" i="5"/>
  <c r="AJ144" i="4"/>
  <c r="AH144" i="4"/>
  <c r="AI144" i="4"/>
  <c r="S126" i="5"/>
  <c r="AG126" i="4"/>
  <c r="S167" i="5"/>
  <c r="AG167" i="4"/>
  <c r="S161" i="5"/>
  <c r="AG161" i="4"/>
  <c r="X20" i="5"/>
  <c r="AI20" i="4"/>
  <c r="AH20" i="4"/>
  <c r="S19" i="5"/>
  <c r="AG19" i="4"/>
  <c r="X59" i="5"/>
  <c r="AI59" i="4"/>
  <c r="AH59" i="4"/>
  <c r="X120" i="5"/>
  <c r="AJ120" i="4"/>
  <c r="AI120" i="4"/>
  <c r="AH120" i="4"/>
  <c r="X75" i="5"/>
  <c r="AI75" i="4"/>
  <c r="AH75" i="4"/>
  <c r="AJ75" i="4"/>
  <c r="Q125" i="5"/>
  <c r="Q125" i="4"/>
  <c r="R125" i="5" s="1"/>
  <c r="S118" i="5"/>
  <c r="AG118" i="4"/>
  <c r="Q169" i="5"/>
  <c r="Q169" i="4"/>
  <c r="R169" i="5" s="1"/>
  <c r="S154" i="5"/>
  <c r="AG154" i="4"/>
  <c r="Q6" i="5"/>
  <c r="Q6" i="4"/>
  <c r="R6" i="5" s="1"/>
  <c r="AJ90" i="4"/>
  <c r="S145" i="5"/>
  <c r="AG145" i="4"/>
  <c r="Q158" i="5"/>
  <c r="Q158" i="4"/>
  <c r="R158" i="5" s="1"/>
  <c r="Q166" i="5"/>
  <c r="Q166" i="4"/>
  <c r="R166" i="5" s="1"/>
  <c r="S199" i="5"/>
  <c r="AG199" i="4"/>
  <c r="Q16" i="5"/>
  <c r="Q16" i="4"/>
  <c r="R16" i="5" s="1"/>
  <c r="X139" i="5"/>
  <c r="AI139" i="4"/>
  <c r="AH139" i="4"/>
  <c r="Q99" i="5"/>
  <c r="Q99" i="4"/>
  <c r="R99" i="5" s="1"/>
  <c r="S110" i="5"/>
  <c r="AG110" i="4"/>
  <c r="Q199" i="5"/>
  <c r="Q199" i="4"/>
  <c r="R199" i="5" s="1"/>
  <c r="Q163" i="5"/>
  <c r="Q163" i="4"/>
  <c r="R163" i="5" s="1"/>
  <c r="X44" i="5"/>
  <c r="AI44" i="4"/>
  <c r="AH44" i="4"/>
  <c r="AJ44" i="4"/>
  <c r="X18" i="5"/>
  <c r="AH18" i="4"/>
  <c r="AI18" i="4"/>
  <c r="Q117" i="5"/>
  <c r="Q117" i="4"/>
  <c r="R117" i="5" s="1"/>
  <c r="Q130" i="5"/>
  <c r="Q130" i="4"/>
  <c r="R130" i="5" s="1"/>
  <c r="S13" i="5"/>
  <c r="AG13" i="4"/>
  <c r="S79" i="5"/>
  <c r="AG79" i="4"/>
  <c r="X112" i="5"/>
  <c r="AH112" i="4"/>
  <c r="AJ112" i="4"/>
  <c r="AI112" i="4"/>
  <c r="Q82" i="5"/>
  <c r="Q82" i="4"/>
  <c r="R82" i="5" s="1"/>
  <c r="S114" i="5"/>
  <c r="AG114" i="4"/>
  <c r="Q168" i="5"/>
  <c r="Q168" i="4"/>
  <c r="R168" i="5" s="1"/>
  <c r="S83" i="5"/>
  <c r="AG83" i="4"/>
  <c r="S61" i="5"/>
  <c r="AG61" i="4"/>
  <c r="X119" i="5"/>
  <c r="AJ119" i="4"/>
  <c r="AI119" i="4"/>
  <c r="AH119" i="4"/>
  <c r="X77" i="5"/>
  <c r="AJ77" i="4"/>
  <c r="AI77" i="4"/>
  <c r="AH77" i="4"/>
  <c r="Q173" i="5"/>
  <c r="Q173" i="4"/>
  <c r="R173" i="5" s="1"/>
  <c r="X17" i="5"/>
  <c r="AI17" i="4"/>
  <c r="AH17" i="4"/>
  <c r="AJ17" i="4"/>
  <c r="S164" i="5"/>
  <c r="AG164" i="4"/>
  <c r="X102" i="5"/>
  <c r="AI102" i="4"/>
  <c r="AH102" i="4"/>
  <c r="AJ73" i="4"/>
  <c r="S125" i="5"/>
  <c r="AG125" i="4"/>
  <c r="S89" i="5"/>
  <c r="AG89" i="4"/>
  <c r="AJ87" i="4"/>
  <c r="S169" i="5"/>
  <c r="AG169" i="4"/>
  <c r="S141" i="5"/>
  <c r="AG141" i="4"/>
  <c r="S172" i="5"/>
  <c r="AG172" i="4"/>
  <c r="S166" i="5"/>
  <c r="AG166" i="4"/>
  <c r="X124" i="5"/>
  <c r="AI124" i="4"/>
  <c r="AH124" i="4"/>
  <c r="Q159" i="5"/>
  <c r="Q159" i="4"/>
  <c r="R159" i="5" s="1"/>
  <c r="X103" i="5"/>
  <c r="AH103" i="4"/>
  <c r="AI103" i="4"/>
  <c r="M5" i="5"/>
  <c r="O5" i="5"/>
  <c r="B214" i="5" s="1"/>
  <c r="P5" i="5"/>
  <c r="B215" i="5" s="1"/>
  <c r="N5" i="5"/>
  <c r="L5" i="5"/>
  <c r="K5" i="5"/>
  <c r="B210" i="5" s="1"/>
  <c r="Q71" i="5"/>
  <c r="Q71" i="4"/>
  <c r="R71" i="5" s="1"/>
  <c r="X146" i="5"/>
  <c r="AH146" i="4"/>
  <c r="AI146" i="4"/>
  <c r="S130" i="5"/>
  <c r="AG130" i="4"/>
  <c r="S97" i="5"/>
  <c r="AG97" i="4"/>
  <c r="S134" i="5"/>
  <c r="AG134" i="4"/>
  <c r="Q178" i="5"/>
  <c r="Q178" i="4"/>
  <c r="R178" i="5" s="1"/>
  <c r="X51" i="5"/>
  <c r="AH51" i="4"/>
  <c r="AI51" i="4"/>
  <c r="X39" i="5"/>
  <c r="AH39" i="4"/>
  <c r="AI39" i="4"/>
  <c r="X10" i="5"/>
  <c r="AI10" i="4"/>
  <c r="AH10" i="4"/>
  <c r="S53" i="5"/>
  <c r="AG53" i="4"/>
  <c r="AJ139" i="4"/>
  <c r="Q202" i="5"/>
  <c r="Q202" i="4"/>
  <c r="R202" i="5" s="1"/>
  <c r="X100" i="5"/>
  <c r="AI100" i="4"/>
  <c r="AH100" i="4"/>
  <c r="S183" i="5"/>
  <c r="AG183" i="4"/>
  <c r="S203" i="5"/>
  <c r="AG203" i="4"/>
  <c r="X7" i="5"/>
  <c r="AI7" i="4"/>
  <c r="AH7" i="4"/>
  <c r="Q27" i="5"/>
  <c r="Q27" i="4"/>
  <c r="R27" i="5" s="1"/>
  <c r="AJ39" i="4"/>
  <c r="S101" i="5"/>
  <c r="AG101" i="4"/>
  <c r="X111" i="5"/>
  <c r="AH111" i="4"/>
  <c r="AJ111" i="4"/>
  <c r="AI111" i="4"/>
  <c r="S157" i="5"/>
  <c r="AG157" i="4"/>
  <c r="S30" i="5"/>
  <c r="AG30" i="4"/>
  <c r="S140" i="5"/>
  <c r="AG140" i="4"/>
  <c r="X80" i="5"/>
  <c r="AI80" i="4"/>
  <c r="AJ80" i="4"/>
  <c r="AH80" i="4"/>
  <c r="S123" i="5"/>
  <c r="AG123" i="4"/>
  <c r="Q118" i="5"/>
  <c r="Q118" i="4"/>
  <c r="R118" i="5" s="1"/>
  <c r="S153" i="5"/>
  <c r="AG153" i="4"/>
  <c r="B217" i="5"/>
  <c r="S69" i="5"/>
  <c r="AG69" i="4"/>
  <c r="M6" i="5"/>
  <c r="B212" i="5" s="1"/>
  <c r="K6" i="5"/>
  <c r="P6" i="5"/>
  <c r="O6" i="5"/>
  <c r="L6" i="5"/>
  <c r="N6" i="5"/>
  <c r="Q141" i="5"/>
  <c r="Q141" i="4"/>
  <c r="R141" i="5" s="1"/>
  <c r="Q108" i="5"/>
  <c r="Q108" i="4"/>
  <c r="R108" i="5" s="1"/>
  <c r="S165" i="5"/>
  <c r="AG165" i="4"/>
  <c r="S159" i="5"/>
  <c r="AG159" i="4"/>
  <c r="S132" i="5"/>
  <c r="AG132" i="4"/>
  <c r="X95" i="5"/>
  <c r="AH95" i="4"/>
  <c r="AI95" i="4"/>
  <c r="X35" i="5"/>
  <c r="AH35" i="4"/>
  <c r="AI35" i="4"/>
  <c r="S109" i="5"/>
  <c r="AG109" i="4"/>
  <c r="S190" i="5"/>
  <c r="AG190" i="4"/>
  <c r="S192" i="5"/>
  <c r="AG192" i="4"/>
  <c r="X47" i="5"/>
  <c r="AI47" i="4"/>
  <c r="AH47" i="4"/>
  <c r="S24" i="5"/>
  <c r="AG24" i="4"/>
  <c r="S14" i="5"/>
  <c r="AG14" i="4"/>
  <c r="S64" i="5"/>
  <c r="AG64" i="4"/>
  <c r="S32" i="5"/>
  <c r="AG32" i="4"/>
  <c r="AJ51" i="4"/>
  <c r="S168" i="5"/>
  <c r="AG168" i="4"/>
  <c r="X58" i="5"/>
  <c r="AJ58" i="4"/>
  <c r="AH58" i="4"/>
  <c r="AI58" i="4"/>
  <c r="X133" i="5"/>
  <c r="AI133" i="4"/>
  <c r="AH133" i="4"/>
  <c r="S54" i="5"/>
  <c r="AG54" i="4"/>
  <c r="S91" i="5"/>
  <c r="AG91" i="4"/>
  <c r="S173" i="5"/>
  <c r="AG173" i="4"/>
  <c r="S186" i="5"/>
  <c r="AG186" i="4"/>
  <c r="S41" i="5"/>
  <c r="AG41" i="4"/>
  <c r="Q104" i="5"/>
  <c r="Q104" i="4"/>
  <c r="R104" i="5" s="1"/>
  <c r="X94" i="5"/>
  <c r="AI94" i="4"/>
  <c r="AH94" i="4"/>
  <c r="S174" i="5"/>
  <c r="AG174" i="4"/>
  <c r="S152" i="5"/>
  <c r="AG152" i="4"/>
  <c r="B213" i="5"/>
  <c r="Q157" i="5"/>
  <c r="Q157" i="4"/>
  <c r="R157" i="5" s="1"/>
  <c r="X88" i="5"/>
  <c r="AI88" i="4"/>
  <c r="AH88" i="4"/>
  <c r="X60" i="5"/>
  <c r="AH60" i="4"/>
  <c r="AI60" i="4"/>
  <c r="S21" i="5"/>
  <c r="AG21" i="4"/>
  <c r="B216" i="5"/>
  <c r="S29" i="5"/>
  <c r="AG29" i="4"/>
  <c r="X9" i="5"/>
  <c r="AI9" i="4"/>
  <c r="AH9" i="4"/>
  <c r="AJ9" i="4"/>
  <c r="AJ59" i="4"/>
  <c r="S160" i="5"/>
  <c r="AG160" i="4"/>
  <c r="Q176" i="5"/>
  <c r="Q176" i="4"/>
  <c r="R176" i="5" s="1"/>
  <c r="B211" i="5" l="1"/>
  <c r="X160" i="5"/>
  <c r="AJ160" i="4"/>
  <c r="AI160" i="4"/>
  <c r="AH160" i="4"/>
  <c r="X186" i="5"/>
  <c r="AJ186" i="4"/>
  <c r="AI186" i="4"/>
  <c r="AH186" i="4"/>
  <c r="X24" i="5"/>
  <c r="AI24" i="4"/>
  <c r="AJ24" i="4"/>
  <c r="AH24" i="4"/>
  <c r="X123" i="5"/>
  <c r="AI123" i="4"/>
  <c r="AH123" i="4"/>
  <c r="AJ123" i="4"/>
  <c r="X30" i="5"/>
  <c r="AI30" i="4"/>
  <c r="AJ30" i="4"/>
  <c r="AH30" i="4"/>
  <c r="X134" i="5"/>
  <c r="AI134" i="4"/>
  <c r="AJ134" i="4"/>
  <c r="AH134" i="4"/>
  <c r="X114" i="5"/>
  <c r="AI114" i="4"/>
  <c r="AJ114" i="4"/>
  <c r="AH114" i="4"/>
  <c r="X79" i="5"/>
  <c r="AI79" i="4"/>
  <c r="AH79" i="4"/>
  <c r="AJ79" i="4"/>
  <c r="X158" i="5"/>
  <c r="AI158" i="4"/>
  <c r="AH158" i="4"/>
  <c r="AJ158" i="4"/>
  <c r="X170" i="5"/>
  <c r="AJ170" i="4"/>
  <c r="AI170" i="4"/>
  <c r="AH170" i="4"/>
  <c r="X104" i="5"/>
  <c r="AI104" i="4"/>
  <c r="AH104" i="4"/>
  <c r="AJ104" i="4"/>
  <c r="X16" i="5"/>
  <c r="AI16" i="4"/>
  <c r="AJ16" i="4"/>
  <c r="AH16" i="4"/>
  <c r="E22" i="3"/>
  <c r="F22" i="3" s="1"/>
  <c r="R4" i="4"/>
  <c r="S4" i="4" s="1"/>
  <c r="F19" i="3"/>
  <c r="X176" i="5"/>
  <c r="AI176" i="4"/>
  <c r="AJ176" i="4"/>
  <c r="AH176" i="4"/>
  <c r="X179" i="5"/>
  <c r="AI179" i="4"/>
  <c r="AH179" i="4"/>
  <c r="AJ179" i="4"/>
  <c r="X151" i="5"/>
  <c r="AI151" i="4"/>
  <c r="AH151" i="4"/>
  <c r="AJ151" i="4"/>
  <c r="X182" i="5"/>
  <c r="AJ182" i="4"/>
  <c r="AI182" i="4"/>
  <c r="AH182" i="4"/>
  <c r="X62" i="5"/>
  <c r="AI62" i="4"/>
  <c r="AH62" i="4"/>
  <c r="AJ62" i="4"/>
  <c r="X109" i="5"/>
  <c r="AI109" i="4"/>
  <c r="AH109" i="4"/>
  <c r="AJ109" i="4"/>
  <c r="X132" i="5"/>
  <c r="AJ132" i="4"/>
  <c r="AI132" i="4"/>
  <c r="AH132" i="4"/>
  <c r="X69" i="5"/>
  <c r="AI69" i="4"/>
  <c r="AJ69" i="4"/>
  <c r="AH69" i="4"/>
  <c r="X101" i="5"/>
  <c r="AI101" i="4"/>
  <c r="AH101" i="4"/>
  <c r="AJ101" i="4"/>
  <c r="X203" i="5"/>
  <c r="AJ203" i="4"/>
  <c r="AI203" i="4"/>
  <c r="AH203" i="4"/>
  <c r="X166" i="5"/>
  <c r="AI166" i="4"/>
  <c r="AH166" i="4"/>
  <c r="AJ166" i="4"/>
  <c r="X167" i="5"/>
  <c r="AI167" i="4"/>
  <c r="AH167" i="4"/>
  <c r="AJ167" i="4"/>
  <c r="X196" i="5"/>
  <c r="AI196" i="4"/>
  <c r="AJ196" i="4"/>
  <c r="AH196" i="4"/>
  <c r="X162" i="5"/>
  <c r="AJ162" i="4"/>
  <c r="AI162" i="4"/>
  <c r="AH162" i="4"/>
  <c r="X56" i="5"/>
  <c r="AI56" i="4"/>
  <c r="AJ56" i="4"/>
  <c r="AH56" i="4"/>
  <c r="X82" i="5"/>
  <c r="AI82" i="4"/>
  <c r="AH82" i="4"/>
  <c r="AJ82" i="4"/>
  <c r="X5" i="5"/>
  <c r="AI5" i="4"/>
  <c r="AH5" i="4"/>
  <c r="AJ5" i="4"/>
  <c r="X198" i="5"/>
  <c r="AJ198" i="4"/>
  <c r="AI198" i="4"/>
  <c r="AH198" i="4"/>
  <c r="X194" i="5"/>
  <c r="AJ194" i="4"/>
  <c r="AI194" i="4"/>
  <c r="AH194" i="4"/>
  <c r="X42" i="5"/>
  <c r="AI42" i="4"/>
  <c r="AJ42" i="4"/>
  <c r="AH42" i="4"/>
  <c r="X195" i="5"/>
  <c r="AJ195" i="4"/>
  <c r="AI195" i="4"/>
  <c r="AH195" i="4"/>
  <c r="X37" i="5"/>
  <c r="AI37" i="4"/>
  <c r="AJ37" i="4"/>
  <c r="AH37" i="4"/>
  <c r="X66" i="5"/>
  <c r="AI66" i="4"/>
  <c r="AH66" i="4"/>
  <c r="AJ66" i="4"/>
  <c r="X202" i="5"/>
  <c r="AJ202" i="4"/>
  <c r="AI202" i="4"/>
  <c r="AH202" i="4"/>
  <c r="X85" i="5"/>
  <c r="AI85" i="4"/>
  <c r="AJ85" i="4"/>
  <c r="AH85" i="4"/>
  <c r="X156" i="5"/>
  <c r="AI156" i="4"/>
  <c r="AH156" i="4"/>
  <c r="AJ156" i="4"/>
  <c r="X106" i="5"/>
  <c r="AI106" i="4"/>
  <c r="AH106" i="4"/>
  <c r="AJ106" i="4"/>
  <c r="X178" i="5"/>
  <c r="AI178" i="4"/>
  <c r="AJ178" i="4"/>
  <c r="AH178" i="4"/>
  <c r="X180" i="5"/>
  <c r="AI180" i="4"/>
  <c r="AH180" i="4"/>
  <c r="AJ180" i="4"/>
  <c r="X191" i="5"/>
  <c r="AI191" i="4"/>
  <c r="AH191" i="4"/>
  <c r="AJ191" i="4"/>
  <c r="X45" i="5"/>
  <c r="AI45" i="4"/>
  <c r="AJ45" i="4"/>
  <c r="AH45" i="4"/>
  <c r="X89" i="5"/>
  <c r="AI89" i="4"/>
  <c r="AH89" i="4"/>
  <c r="AJ89" i="4"/>
  <c r="X164" i="5"/>
  <c r="AI164" i="4"/>
  <c r="AJ164" i="4"/>
  <c r="AH164" i="4"/>
  <c r="X61" i="5"/>
  <c r="AI61" i="4"/>
  <c r="AH61" i="4"/>
  <c r="AJ61" i="4"/>
  <c r="X13" i="5"/>
  <c r="AI13" i="4"/>
  <c r="AH13" i="4"/>
  <c r="AJ13" i="4"/>
  <c r="X145" i="5"/>
  <c r="AJ145" i="4"/>
  <c r="AI145" i="4"/>
  <c r="AH145" i="4"/>
  <c r="X19" i="5"/>
  <c r="AI19" i="4"/>
  <c r="AJ19" i="4"/>
  <c r="AH19" i="4"/>
  <c r="X159" i="5"/>
  <c r="AI159" i="4"/>
  <c r="AJ159" i="4"/>
  <c r="AH159" i="4"/>
  <c r="X183" i="5"/>
  <c r="AI183" i="4"/>
  <c r="AJ183" i="4"/>
  <c r="AH183" i="4"/>
  <c r="X53" i="5"/>
  <c r="AI53" i="4"/>
  <c r="AJ53" i="4"/>
  <c r="AH53" i="4"/>
  <c r="X172" i="5"/>
  <c r="AI172" i="4"/>
  <c r="AJ172" i="4"/>
  <c r="AH172" i="4"/>
  <c r="X110" i="5"/>
  <c r="AI110" i="4"/>
  <c r="AH110" i="4"/>
  <c r="AJ110" i="4"/>
  <c r="X118" i="5"/>
  <c r="AJ118" i="4"/>
  <c r="AI118" i="4"/>
  <c r="AH118" i="4"/>
  <c r="X126" i="5"/>
  <c r="AJ126" i="4"/>
  <c r="AI126" i="4"/>
  <c r="AH126" i="4"/>
  <c r="X177" i="5"/>
  <c r="AI177" i="4"/>
  <c r="AJ177" i="4"/>
  <c r="AH177" i="4"/>
  <c r="X22" i="5"/>
  <c r="AI22" i="4"/>
  <c r="AJ22" i="4"/>
  <c r="AH22" i="4"/>
  <c r="X107" i="5"/>
  <c r="AI107" i="4"/>
  <c r="AH107" i="4"/>
  <c r="AJ107" i="4"/>
  <c r="X187" i="5"/>
  <c r="AI187" i="4"/>
  <c r="AH187" i="4"/>
  <c r="AJ187" i="4"/>
  <c r="X201" i="5"/>
  <c r="AI201" i="4"/>
  <c r="AJ201" i="4"/>
  <c r="AH201" i="4"/>
  <c r="X96" i="5"/>
  <c r="AI96" i="4"/>
  <c r="AH96" i="4"/>
  <c r="AJ96" i="4"/>
  <c r="X155" i="5"/>
  <c r="AI155" i="4"/>
  <c r="AJ155" i="4"/>
  <c r="AH155" i="4"/>
  <c r="X86" i="5"/>
  <c r="AI86" i="4"/>
  <c r="AJ86" i="4"/>
  <c r="AH86" i="4"/>
  <c r="X125" i="5"/>
  <c r="AI125" i="4"/>
  <c r="AH125" i="4"/>
  <c r="AJ125" i="4"/>
  <c r="X83" i="5"/>
  <c r="AI83" i="4"/>
  <c r="AH83" i="4"/>
  <c r="AJ83" i="4"/>
  <c r="X199" i="5"/>
  <c r="AJ199" i="4"/>
  <c r="AI199" i="4"/>
  <c r="AH199" i="4"/>
  <c r="X181" i="5"/>
  <c r="AI181" i="4"/>
  <c r="AJ181" i="4"/>
  <c r="AH181" i="4"/>
  <c r="X116" i="5"/>
  <c r="AI116" i="4"/>
  <c r="AJ116" i="4"/>
  <c r="AH116" i="4"/>
  <c r="X11" i="5"/>
  <c r="AI11" i="4"/>
  <c r="AH11" i="4"/>
  <c r="AJ11" i="4"/>
  <c r="X188" i="5"/>
  <c r="AI188" i="4"/>
  <c r="AH188" i="4"/>
  <c r="AJ188" i="4"/>
  <c r="X27" i="5"/>
  <c r="AI27" i="4"/>
  <c r="AJ27" i="4"/>
  <c r="AH27" i="4"/>
  <c r="X72" i="5"/>
  <c r="AI72" i="4"/>
  <c r="AJ72" i="4"/>
  <c r="AH72" i="4"/>
  <c r="X184" i="5"/>
  <c r="AI184" i="4"/>
  <c r="AH184" i="4"/>
  <c r="AJ184" i="4"/>
  <c r="X38" i="5"/>
  <c r="AI38" i="4"/>
  <c r="AH38" i="4"/>
  <c r="AJ38" i="4"/>
  <c r="X200" i="5"/>
  <c r="AI200" i="4"/>
  <c r="AJ200" i="4"/>
  <c r="AH200" i="4"/>
  <c r="X55" i="5"/>
  <c r="AI55" i="4"/>
  <c r="AH55" i="4"/>
  <c r="AJ55" i="4"/>
  <c r="X21" i="5"/>
  <c r="AI21" i="4"/>
  <c r="AH21" i="4"/>
  <c r="AJ21" i="4"/>
  <c r="X173" i="5"/>
  <c r="AJ173" i="4"/>
  <c r="AI173" i="4"/>
  <c r="AH173" i="4"/>
  <c r="X32" i="5"/>
  <c r="AI32" i="4"/>
  <c r="AH32" i="4"/>
  <c r="AJ32" i="4"/>
  <c r="X157" i="5"/>
  <c r="AI157" i="4"/>
  <c r="AJ157" i="4"/>
  <c r="AH157" i="4"/>
  <c r="X97" i="5"/>
  <c r="AI97" i="4"/>
  <c r="AH97" i="4"/>
  <c r="AJ97" i="4"/>
  <c r="X91" i="5"/>
  <c r="AI91" i="4"/>
  <c r="AH91" i="4"/>
  <c r="AJ91" i="4"/>
  <c r="X64" i="5"/>
  <c r="AI64" i="4"/>
  <c r="AJ64" i="4"/>
  <c r="AH64" i="4"/>
  <c r="X192" i="5"/>
  <c r="AI192" i="4"/>
  <c r="AJ192" i="4"/>
  <c r="AH192" i="4"/>
  <c r="X165" i="5"/>
  <c r="AI165" i="4"/>
  <c r="AJ165" i="4"/>
  <c r="AH165" i="4"/>
  <c r="X141" i="5"/>
  <c r="AI141" i="4"/>
  <c r="AH141" i="4"/>
  <c r="AJ141" i="4"/>
  <c r="X131" i="5"/>
  <c r="AI131" i="4"/>
  <c r="AJ131" i="4"/>
  <c r="AH131" i="4"/>
  <c r="X197" i="5"/>
  <c r="AI197" i="4"/>
  <c r="AJ197" i="4"/>
  <c r="AH197" i="4"/>
  <c r="X137" i="5"/>
  <c r="AI137" i="4"/>
  <c r="AJ137" i="4"/>
  <c r="AH137" i="4"/>
  <c r="X74" i="5"/>
  <c r="AI74" i="4"/>
  <c r="AJ74" i="4"/>
  <c r="AH74" i="4"/>
  <c r="X34" i="5"/>
  <c r="AI34" i="4"/>
  <c r="AJ34" i="4"/>
  <c r="AH34" i="4"/>
  <c r="X163" i="5"/>
  <c r="AI163" i="4"/>
  <c r="AH163" i="4"/>
  <c r="AJ163" i="4"/>
  <c r="X142" i="5"/>
  <c r="AI142" i="4"/>
  <c r="AJ142" i="4"/>
  <c r="AH142" i="4"/>
  <c r="X153" i="5"/>
  <c r="AJ153" i="4"/>
  <c r="AI153" i="4"/>
  <c r="AH153" i="4"/>
  <c r="X130" i="5"/>
  <c r="AI130" i="4"/>
  <c r="AJ130" i="4"/>
  <c r="AH130" i="4"/>
  <c r="X14" i="5"/>
  <c r="AI14" i="4"/>
  <c r="AJ14" i="4"/>
  <c r="AH14" i="4"/>
  <c r="X140" i="5"/>
  <c r="AI140" i="4"/>
  <c r="AJ140" i="4"/>
  <c r="AH140" i="4"/>
  <c r="X108" i="5"/>
  <c r="AJ108" i="4"/>
  <c r="AI108" i="4"/>
  <c r="AH108" i="4"/>
  <c r="X46" i="5"/>
  <c r="AI46" i="4"/>
  <c r="AJ46" i="4"/>
  <c r="AH46" i="4"/>
  <c r="X117" i="5"/>
  <c r="AI117" i="4"/>
  <c r="AJ117" i="4"/>
  <c r="AH117" i="4"/>
  <c r="X99" i="5"/>
  <c r="AI99" i="4"/>
  <c r="AJ99" i="4"/>
  <c r="AH99" i="4"/>
  <c r="X189" i="5"/>
  <c r="AJ189" i="4"/>
  <c r="AI189" i="4"/>
  <c r="AH189" i="4"/>
  <c r="X63" i="5"/>
  <c r="AI63" i="4"/>
  <c r="AH63" i="4"/>
  <c r="AJ63" i="4"/>
  <c r="X149" i="5"/>
  <c r="AI149" i="4"/>
  <c r="AJ149" i="4"/>
  <c r="AH149" i="4"/>
  <c r="X171" i="5"/>
  <c r="AI171" i="4"/>
  <c r="AJ171" i="4"/>
  <c r="AH171" i="4"/>
  <c r="X150" i="5"/>
  <c r="AJ150" i="4"/>
  <c r="AI150" i="4"/>
  <c r="AH150" i="4"/>
  <c r="X185" i="5"/>
  <c r="AI185" i="4"/>
  <c r="AJ185" i="4"/>
  <c r="AH185" i="4"/>
  <c r="X6" i="5"/>
  <c r="AI6" i="4"/>
  <c r="AJ6" i="4"/>
  <c r="AH6" i="4"/>
  <c r="X152" i="5"/>
  <c r="AJ152" i="4"/>
  <c r="AI152" i="4"/>
  <c r="AH152" i="4"/>
  <c r="X41" i="5"/>
  <c r="AI41" i="4"/>
  <c r="AJ41" i="4"/>
  <c r="AH41" i="4"/>
  <c r="X54" i="5"/>
  <c r="AI54" i="4"/>
  <c r="AJ54" i="4"/>
  <c r="AH54" i="4"/>
  <c r="X29" i="5"/>
  <c r="AI29" i="4"/>
  <c r="AJ29" i="4"/>
  <c r="AH29" i="4"/>
  <c r="X174" i="5"/>
  <c r="AI174" i="4"/>
  <c r="AJ174" i="4"/>
  <c r="AH174" i="4"/>
  <c r="X168" i="5"/>
  <c r="AI168" i="4"/>
  <c r="AJ168" i="4"/>
  <c r="AH168" i="4"/>
  <c r="X190" i="5"/>
  <c r="AJ190" i="4"/>
  <c r="AI190" i="4"/>
  <c r="AH190" i="4"/>
  <c r="X169" i="5"/>
  <c r="AJ169" i="4"/>
  <c r="AI169" i="4"/>
  <c r="AH169" i="4"/>
  <c r="X154" i="5"/>
  <c r="AJ154" i="4"/>
  <c r="AI154" i="4"/>
  <c r="AH154" i="4"/>
  <c r="X161" i="5"/>
  <c r="AJ161" i="4"/>
  <c r="AI161" i="4"/>
  <c r="AH161" i="4"/>
  <c r="X122" i="5"/>
  <c r="AI122" i="4"/>
  <c r="AH122" i="4"/>
  <c r="AJ122" i="4"/>
  <c r="X193" i="5"/>
  <c r="AI193" i="4"/>
  <c r="AJ193" i="4"/>
  <c r="AH193" i="4"/>
  <c r="X81" i="5"/>
  <c r="AI81" i="4"/>
  <c r="AJ81" i="4"/>
  <c r="AH81" i="4"/>
  <c r="X175" i="5"/>
  <c r="AI175" i="4"/>
  <c r="AJ175" i="4"/>
  <c r="AH175" i="4"/>
  <c r="X8" i="5"/>
  <c r="AI8" i="4"/>
  <c r="AH8" i="4"/>
  <c r="AJ8" i="4"/>
  <c r="X71" i="5"/>
  <c r="AI71" i="4"/>
  <c r="AJ71" i="4"/>
  <c r="AH71" i="4"/>
  <c r="S4" i="5" l="1"/>
  <c r="AG4" i="4"/>
  <c r="X4" i="5" l="1"/>
  <c r="B218" i="5" s="1"/>
  <c r="AI4" i="4"/>
  <c r="AH4" i="4"/>
  <c r="AJ4" i="4"/>
</calcChain>
</file>

<file path=xl/sharedStrings.xml><?xml version="1.0" encoding="utf-8"?>
<sst xmlns="http://schemas.openxmlformats.org/spreadsheetml/2006/main" count="381" uniqueCount="244">
  <si>
    <t>Inputs</t>
  </si>
  <si>
    <t>Category</t>
  </si>
  <si>
    <t>Input</t>
  </si>
  <si>
    <t>Value</t>
  </si>
  <si>
    <t>Units / Note</t>
  </si>
  <si>
    <t>Raw Materials</t>
  </si>
  <si>
    <t>Aggregate purchase basis</t>
  </si>
  <si>
    <t>MT</t>
  </si>
  <si>
    <t>MT or CFT</t>
  </si>
  <si>
    <t>Aggregate purchase rate</t>
  </si>
  <si>
    <t>₹/MT or ₹/CFT</t>
  </si>
  <si>
    <t>Aggregate loose bulk density</t>
  </si>
  <si>
    <t>MT/cum</t>
  </si>
  <si>
    <t>CFT per CUM</t>
  </si>
  <si>
    <t>constant</t>
  </si>
  <si>
    <t>Aggregate base rate at crusher (₹/MT)</t>
  </si>
  <si>
    <t>derived</t>
  </si>
  <si>
    <t>Crusher to plant distance</t>
  </si>
  <si>
    <t>km one way</t>
  </si>
  <si>
    <t>Crusher transport rate</t>
  </si>
  <si>
    <t>₹/km/load</t>
  </si>
  <si>
    <t>Crusher payload</t>
  </si>
  <si>
    <t>Crusher to plant freight (₹/MT)</t>
  </si>
  <si>
    <t>Landed aggregate rate at plant (₹/MT)</t>
  </si>
  <si>
    <t>Bitumen price</t>
  </si>
  <si>
    <t>₹/kg</t>
  </si>
  <si>
    <t>Mix</t>
  </si>
  <si>
    <t>BC binder content</t>
  </si>
  <si>
    <t>fraction of mix</t>
  </si>
  <si>
    <t>DBM binder content</t>
  </si>
  <si>
    <t>BC compacted density</t>
  </si>
  <si>
    <t>DBM compacted density</t>
  </si>
  <si>
    <t>Plant</t>
  </si>
  <si>
    <t>Costing production rate</t>
  </si>
  <si>
    <t>TPH</t>
  </si>
  <si>
    <t>Plant operating hours per month</t>
  </si>
  <si>
    <t>hours/month</t>
  </si>
  <si>
    <t>Plant capex (incl. installation/civil)</t>
  </si>
  <si>
    <t>₹</t>
  </si>
  <si>
    <t>Plant life</t>
  </si>
  <si>
    <t>years</t>
  </si>
  <si>
    <t>Plant maintenance</t>
  </si>
  <si>
    <t>% of depreciation</t>
  </si>
  <si>
    <t>DG</t>
  </si>
  <si>
    <t>DG capex</t>
  </si>
  <si>
    <t>DG life</t>
  </si>
  <si>
    <t>DG maintenance</t>
  </si>
  <si>
    <t>Support</t>
  </si>
  <si>
    <t>JCB monthly hire</t>
  </si>
  <si>
    <t>₹/month</t>
  </si>
  <si>
    <t>JCB billed hours per month</t>
  </si>
  <si>
    <t>HSD for aggregate handling</t>
  </si>
  <si>
    <t>L/hour</t>
  </si>
  <si>
    <t>HSD price</t>
  </si>
  <si>
    <t>₹/L</t>
  </si>
  <si>
    <t>Tipper inter-carting</t>
  </si>
  <si>
    <t>₹/day</t>
  </si>
  <si>
    <t>Tipper working hours</t>
  </si>
  <si>
    <t>hours/day</t>
  </si>
  <si>
    <t>P&amp;R HSD</t>
  </si>
  <si>
    <t>DG HSD</t>
  </si>
  <si>
    <t>Fuel</t>
  </si>
  <si>
    <t>Dryer LDO consumption</t>
  </si>
  <si>
    <t>L/MT</t>
  </si>
  <si>
    <t>LDO rate</t>
  </si>
  <si>
    <t>Boiler during production</t>
  </si>
  <si>
    <t>Boiler preheating</t>
  </si>
  <si>
    <t>Boiler fuel rate</t>
  </si>
  <si>
    <t>Production hours per cycle</t>
  </si>
  <si>
    <t>hours</t>
  </si>
  <si>
    <t>Preheat hours per cycle</t>
  </si>
  <si>
    <t>Campaign tonnage</t>
  </si>
  <si>
    <t>Crew</t>
  </si>
  <si>
    <t>Crew monthly cost</t>
  </si>
  <si>
    <t>Crew work days</t>
  </si>
  <si>
    <t>days/month</t>
  </si>
  <si>
    <t>Crew work hours per day</t>
  </si>
  <si>
    <t>Commercial</t>
  </si>
  <si>
    <t>Margin / profit</t>
  </si>
  <si>
    <t>fraction on plant cost</t>
  </si>
  <si>
    <t>Transport</t>
  </si>
  <si>
    <t>Mix transport distance</t>
  </si>
  <si>
    <t>Mix transport rate</t>
  </si>
  <si>
    <t>Mix payload</t>
  </si>
  <si>
    <t>Mix transport cost per MT</t>
  </si>
  <si>
    <t>Paving &amp; Rolling</t>
  </si>
  <si>
    <t>Paver hire</t>
  </si>
  <si>
    <t>Tandem roller hire</t>
  </si>
  <si>
    <t>PTR hire</t>
  </si>
  <si>
    <t>Diesel</t>
  </si>
  <si>
    <t>Productivity</t>
  </si>
  <si>
    <t>MT/day</t>
  </si>
  <si>
    <t>Paving &amp; rolling cost per MT</t>
  </si>
  <si>
    <t>Prime/Tack</t>
  </si>
  <si>
    <t>Prime coat spray rate</t>
  </si>
  <si>
    <t>kg/sqm</t>
  </si>
  <si>
    <t>Tack coat spray rate</t>
  </si>
  <si>
    <t>Prime emulsion price</t>
  </si>
  <si>
    <t>Tack emulsion price</t>
  </si>
  <si>
    <t>Prime water dilution</t>
  </si>
  <si>
    <t>fraction</t>
  </si>
  <si>
    <t>Tack water dilution</t>
  </si>
  <si>
    <t>Water cost</t>
  </si>
  <si>
    <t>Bowser + tractor</t>
  </si>
  <si>
    <t>Spray crew + diesel</t>
  </si>
  <si>
    <t>Spray productivity</t>
  </si>
  <si>
    <t>sqm/day</t>
  </si>
  <si>
    <t>Spray operation cost / sqm</t>
  </si>
  <si>
    <t>Prime material cost / sqm</t>
  </si>
  <si>
    <t>Tack material cost / sqm</t>
  </si>
  <si>
    <t>Prime total cost / sqm</t>
  </si>
  <si>
    <t>Tack total cost / sqm</t>
  </si>
  <si>
    <t>Mix Design - BC and DBM</t>
  </si>
  <si>
    <t>Component</t>
  </si>
  <si>
    <t>BC % of mix</t>
  </si>
  <si>
    <t>DBM % of mix</t>
  </si>
  <si>
    <t>BC qty / 1 MT</t>
  </si>
  <si>
    <t>DBM qty / 1 MT</t>
  </si>
  <si>
    <t>BC qty / 1 CUM</t>
  </si>
  <si>
    <t>DBM qty / 1 CUM</t>
  </si>
  <si>
    <t>20mm aggregate</t>
  </si>
  <si>
    <t>10mm aggregate</t>
  </si>
  <si>
    <t>6mm / chips</t>
  </si>
  <si>
    <t>Dust</t>
  </si>
  <si>
    <t>Filler</t>
  </si>
  <si>
    <t>Bitumen</t>
  </si>
  <si>
    <t>Total</t>
  </si>
  <si>
    <t>Note</t>
  </si>
  <si>
    <t>Edit BC/DBM composition if you have exact JMF. Bitumen rows are linked to Inputs.</t>
  </si>
  <si>
    <t>Rate Model - per MT and per Cum</t>
  </si>
  <si>
    <t>Cost Head</t>
  </si>
  <si>
    <t>Basis / Formula</t>
  </si>
  <si>
    <t>BC (₹/MT)</t>
  </si>
  <si>
    <t>BC (₹/cum)</t>
  </si>
  <si>
    <t>DBM (₹/MT)</t>
  </si>
  <si>
    <t>DBM (₹/cum)</t>
  </si>
  <si>
    <t>Notes / Surface</t>
  </si>
  <si>
    <t>Aggregate material</t>
  </si>
  <si>
    <t>Landed agg rate/MT × (1-binder%)</t>
  </si>
  <si>
    <t>Crusher+freight landed</t>
  </si>
  <si>
    <t>Bitumen ₹/kg × 1000 × binder%</t>
  </si>
  <si>
    <t>Plant depreciation + maintenance</t>
  </si>
  <si>
    <t>Plant capex/life × (1+maint) /12 /hours /TPH</t>
  </si>
  <si>
    <t>DG depreciation + maintenance</t>
  </si>
  <si>
    <t>DG capex/life × (1+maint) /12 /hours /TPH</t>
  </si>
  <si>
    <t>JCB hire</t>
  </si>
  <si>
    <t>Monthly hire / billed hours / TPH</t>
  </si>
  <si>
    <t>L/hr × ₹/L / TPH</t>
  </si>
  <si>
    <t>₹/day / hours / TPH</t>
  </si>
  <si>
    <t>Dryer LDO</t>
  </si>
  <si>
    <t>L/MT × ₹/L</t>
  </si>
  <si>
    <t>L/hr × ₹/L × prod hrs / campaign MT</t>
  </si>
  <si>
    <t>L/hr × ₹/L × preheat hrs / campaign MT</t>
  </si>
  <si>
    <t>Monthly crew / workdays / hours / TPH</t>
  </si>
  <si>
    <t>Total cost before margin</t>
  </si>
  <si>
    <t>Sum above</t>
  </si>
  <si>
    <t>Margin</t>
  </si>
  <si>
    <t>Total before margin × margin %</t>
  </si>
  <si>
    <t>Final plant selling rate</t>
  </si>
  <si>
    <t>Cost + margin</t>
  </si>
  <si>
    <t>Ex-plant mix</t>
  </si>
  <si>
    <t>Mix transport to site</t>
  </si>
  <si>
    <t>Distance × 2 × rate ÷ payload</t>
  </si>
  <si>
    <t>Calculated from inputs</t>
  </si>
  <si>
    <t>Paving &amp; rolling</t>
  </si>
  <si>
    <t>Daily cost ÷ productivity</t>
  </si>
  <si>
    <t>Final laid rate</t>
  </si>
  <si>
    <t>Plant mix + transport + P&amp;R</t>
  </si>
  <si>
    <t>Excl. prime/tack</t>
  </si>
  <si>
    <t>Prime spray operation</t>
  </si>
  <si>
    <t>Prime material</t>
  </si>
  <si>
    <t>Tack spray operation</t>
  </si>
  <si>
    <t>Tack material</t>
  </si>
  <si>
    <t>Job Planner</t>
  </si>
  <si>
    <t>Blue cells are inputs. Use GEOMETRY when Length/Width/Thickness are known. Use BOQ_CUM when only BOQ volume is given; length will be derived automatically from volume ÷ (width × thickness).</t>
  </si>
  <si>
    <t>Job ID</t>
  </si>
  <si>
    <t>Contractor</t>
  </si>
  <si>
    <t>Layer</t>
  </si>
  <si>
    <t>Qty Basis</t>
  </si>
  <si>
    <t>Length Input (m)</t>
  </si>
  <si>
    <t>Width (m)</t>
  </si>
  <si>
    <t>Thickness (mm)</t>
  </si>
  <si>
    <t>BOQ Qty (cum)</t>
  </si>
  <si>
    <t>Final Qty (cum)</t>
  </si>
  <si>
    <t>Area (sqm)</t>
  </si>
  <si>
    <t>Derived Length (m)</t>
  </si>
  <si>
    <t>Binder %</t>
  </si>
  <si>
    <t>Density (MT/cum)</t>
  </si>
  <si>
    <t>Mix Qty (MT)</t>
  </si>
  <si>
    <t>Bitumen (MT)</t>
  </si>
  <si>
    <t>Aggregates (MT)</t>
  </si>
  <si>
    <t>Agg Qty (CFT)</t>
  </si>
  <si>
    <t>Plant Rate / MT</t>
  </si>
  <si>
    <t>Plant Amount</t>
  </si>
  <si>
    <t>Lead to Site (km)</t>
  </si>
  <si>
    <t>Truck ₹/km</t>
  </si>
  <si>
    <t>Return Factor</t>
  </si>
  <si>
    <t>Payload (MT)</t>
  </si>
  <si>
    <t>Extra / trip</t>
  </si>
  <si>
    <t>Transport / MT</t>
  </si>
  <si>
    <t>Transport Amount</t>
  </si>
  <si>
    <t>P&amp;R / MT</t>
  </si>
  <si>
    <t>P&amp;R Amount</t>
  </si>
  <si>
    <t>Prime? 1/0</t>
  </si>
  <si>
    <t>Tack? 1/0</t>
  </si>
  <si>
    <t>Prime Amount</t>
  </si>
  <si>
    <t>Tack Amount</t>
  </si>
  <si>
    <t>Total Amount</t>
  </si>
  <si>
    <t>Rate / MT</t>
  </si>
  <si>
    <t>Rate / CUM</t>
  </si>
  <si>
    <t>Rate / SQM</t>
  </si>
  <si>
    <t>J01</t>
  </si>
  <si>
    <t>Murthy</t>
  </si>
  <si>
    <t>DBM</t>
  </si>
  <si>
    <t>GEOMETRY</t>
  </si>
  <si>
    <t>J02</t>
  </si>
  <si>
    <t>BC</t>
  </si>
  <si>
    <t>J03</t>
  </si>
  <si>
    <t>Approach Contractor</t>
  </si>
  <si>
    <t>BOQ_CUM</t>
  </si>
  <si>
    <t>Material Planner</t>
  </si>
  <si>
    <t>Job-wise pull from Job Planner with component-wise quantities based on Mix Design. Use the summary block on the right for contractor/layer totals.</t>
  </si>
  <si>
    <t>Length Used (m)</t>
  </si>
  <si>
    <t>20mm MT</t>
  </si>
  <si>
    <t>10mm MT</t>
  </si>
  <si>
    <t>6mm / chips MT</t>
  </si>
  <si>
    <t>Dust MT</t>
  </si>
  <si>
    <t>Filler MT</t>
  </si>
  <si>
    <t>Bitumen MT</t>
  </si>
  <si>
    <t>Total Aggregates MT</t>
  </si>
  <si>
    <t>Aggregates CFT</t>
  </si>
  <si>
    <t>Contractor Summary</t>
  </si>
  <si>
    <t>Mix Qty MT</t>
  </si>
  <si>
    <t>Aggregates MT</t>
  </si>
  <si>
    <t>Grand Totals</t>
  </si>
  <si>
    <t>Total Mix Qty MT</t>
  </si>
  <si>
    <t>Total 20mm MT</t>
  </si>
  <si>
    <t>Total 10mm MT</t>
  </si>
  <si>
    <t>Total 6mm / chips MT</t>
  </si>
  <si>
    <t>Total Dust MT</t>
  </si>
  <si>
    <t>Total Filler MT</t>
  </si>
  <si>
    <t>Total Bitumen MT</t>
  </si>
  <si>
    <t>Total Aggregates CFT</t>
  </si>
  <si>
    <t>Total Project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</si>
</sst>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.00;[Red]&quot;(₹&quot;#,##0.00\);\-"/>
    <numFmt numFmtId="165" formatCode="0.000"/>
    <numFmt numFmtId="166" formatCode="0.0000"/>
    <numFmt numFmtId="167" formatCode="#,##0.00;[Red]\(#,##0.00\);\-"/>
    <numFmt numFmtId="168" formatCode="#,##0.000;[Red]\(#,##0.000\);\-"/>
  </numFmts>
  <fonts count="5" x14ac:knownFonts="1">
    <font>
      <sz val="11"/>
      <color theme="1"/>
      <name val="Calibri"/>
      <family val="2"/>
      <charset val="1"/>
    </font>
    <font>
      <b/>
      <sz val="12"/>
      <color rgb="FFFFFFFF"/>
      <name val="Cambria"/>
      <family val="1"/>
      <charset val="1"/>
    </font>
    <font>
      <b/>
      <sz val="11"/>
      <name val="Cambria"/>
      <family val="1"/>
      <charset val="1"/>
    </font>
    <font>
      <sz val="11"/>
      <color rgb="FF0000FF"/>
      <name val="Cambria"/>
      <family val="1"/>
      <charset val="1"/>
    </font>
    <font>
      <sz val="11"/>
      <name val="Cambria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9E2F3"/>
        <bgColor rgb="FFEAF2FF"/>
      </patternFill>
    </fill>
    <fill>
      <patternFill patternType="solid">
        <fgColor rgb="FFEAF2FF"/>
        <bgColor rgb="FFF2F2F2"/>
      </patternFill>
    </fill>
    <fill>
      <patternFill patternType="solid">
        <fgColor rgb="FFF2F2F2"/>
        <bgColor rgb="FFEAF2FF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166" fontId="3" fillId="4" borderId="1" xfId="0" applyNumberFormat="1" applyFont="1" applyFill="1" applyBorder="1"/>
    <xf numFmtId="167" fontId="4" fillId="5" borderId="1" xfId="0" applyNumberFormat="1" applyFont="1" applyFill="1" applyBorder="1"/>
    <xf numFmtId="167" fontId="3" fillId="4" borderId="1" xfId="0" applyNumberFormat="1" applyFont="1" applyFill="1" applyBorder="1"/>
    <xf numFmtId="10" fontId="3" fillId="4" borderId="1" xfId="0" applyNumberFormat="1" applyFont="1" applyFill="1" applyBorder="1"/>
    <xf numFmtId="168" fontId="4" fillId="5" borderId="1" xfId="0" applyNumberFormat="1" applyFont="1" applyFill="1" applyBorder="1"/>
    <xf numFmtId="10" fontId="4" fillId="5" borderId="1" xfId="0" applyNumberFormat="1" applyFont="1" applyFill="1" applyBorder="1"/>
    <xf numFmtId="10" fontId="2" fillId="6" borderId="1" xfId="0" applyNumberFormat="1" applyFont="1" applyFill="1" applyBorder="1"/>
    <xf numFmtId="168" fontId="2" fillId="6" borderId="1" xfId="0" applyNumberFormat="1" applyFont="1" applyFill="1" applyBorder="1"/>
    <xf numFmtId="0" fontId="2" fillId="0" borderId="0" xfId="0" applyFont="1"/>
    <xf numFmtId="0" fontId="0" fillId="5" borderId="1" xfId="0" applyFill="1" applyBorder="1"/>
    <xf numFmtId="164" fontId="0" fillId="5" borderId="1" xfId="0" applyNumberFormat="1" applyFill="1" applyBorder="1"/>
    <xf numFmtId="0" fontId="2" fillId="6" borderId="1" xfId="0" applyFont="1" applyFill="1" applyBorder="1"/>
    <xf numFmtId="164" fontId="2" fillId="6" borderId="1" xfId="0" applyNumberFormat="1" applyFont="1" applyFill="1" applyBorder="1"/>
    <xf numFmtId="0" fontId="0" fillId="7" borderId="0" xfId="0" applyFill="1"/>
    <xf numFmtId="164" fontId="4" fillId="5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2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zoomScale="140" zoomScaleNormal="140" workbookViewId="0">
      <pane ySplit="3" topLeftCell="A41" activePane="bottomLeft" state="frozen"/>
      <selection pane="bottomLeft" activeCell="C71" sqref="C71"/>
    </sheetView>
  </sheetViews>
  <sheetFormatPr baseColWidth="10" defaultColWidth="8.6640625" defaultRowHeight="15" customHeight="1" x14ac:dyDescent="0.2"/>
  <cols>
    <col min="1" max="1" width="16" customWidth="1"/>
    <col min="2" max="2" width="36" customWidth="1"/>
    <col min="3" max="3" width="16" customWidth="1"/>
    <col min="4" max="4" width="26" customWidth="1"/>
  </cols>
  <sheetData>
    <row r="1" spans="1:5" x14ac:dyDescent="0.2">
      <c r="A1" s="2" t="s">
        <v>0</v>
      </c>
      <c r="B1" s="2"/>
      <c r="C1" s="2"/>
      <c r="D1" s="2"/>
    </row>
    <row r="3" spans="1:5" x14ac:dyDescent="0.2">
      <c r="A3" s="4" t="s">
        <v>1</v>
      </c>
      <c r="B3" s="4" t="s">
        <v>2</v>
      </c>
      <c r="C3" s="4" t="s">
        <v>3</v>
      </c>
      <c r="D3" s="4" t="s">
        <v>4</v>
      </c>
    </row>
    <row r="4" spans="1:5" x14ac:dyDescent="0.2">
      <c r="A4" s="5" t="s">
        <v>5</v>
      </c>
      <c r="B4" s="5" t="s">
        <v>6</v>
      </c>
      <c r="C4" s="6" t="s">
        <v>7</v>
      </c>
      <c r="D4" s="5" t="s">
        <v>8</v>
      </c>
    </row>
    <row r="5" spans="1:5" x14ac:dyDescent="0.2">
      <c r="A5" s="5" t="s">
        <v>5</v>
      </c>
      <c r="B5" s="5" t="s">
        <v>9</v>
      </c>
      <c r="C5" s="7">
        <v>380</v>
      </c>
      <c r="D5" s="5" t="s">
        <v>10</v>
      </c>
    </row>
    <row r="6" spans="1:5" x14ac:dyDescent="0.2">
      <c r="A6" s="5" t="s">
        <v>5</v>
      </c>
      <c r="B6" s="5" t="s">
        <v>11</v>
      </c>
      <c r="C6" s="8">
        <v>1.5</v>
      </c>
      <c r="D6" s="5" t="s">
        <v>12</v>
      </c>
    </row>
    <row r="7" spans="1:5" x14ac:dyDescent="0.2">
      <c r="A7" s="5" t="s">
        <v>5</v>
      </c>
      <c r="B7" s="5" t="s">
        <v>13</v>
      </c>
      <c r="C7" s="9">
        <v>35.314700000000002</v>
      </c>
      <c r="D7" s="5" t="s">
        <v>14</v>
      </c>
    </row>
    <row r="8" spans="1:5" x14ac:dyDescent="0.2">
      <c r="A8" s="5" t="s">
        <v>5</v>
      </c>
      <c r="B8" s="5" t="s">
        <v>15</v>
      </c>
      <c r="C8" s="10">
        <f>IF(C4="MT",C5,C5*C7/C6)</f>
        <v>380</v>
      </c>
      <c r="D8" s="5" t="s">
        <v>16</v>
      </c>
    </row>
    <row r="9" spans="1:5" x14ac:dyDescent="0.2">
      <c r="A9" s="5" t="s">
        <v>5</v>
      </c>
      <c r="B9" s="5" t="s">
        <v>17</v>
      </c>
      <c r="C9" s="11">
        <v>12</v>
      </c>
      <c r="D9" s="5" t="s">
        <v>18</v>
      </c>
    </row>
    <row r="10" spans="1:5" x14ac:dyDescent="0.2">
      <c r="A10" s="5" t="s">
        <v>5</v>
      </c>
      <c r="B10" s="5" t="s">
        <v>19</v>
      </c>
      <c r="C10" s="7">
        <v>95</v>
      </c>
      <c r="D10" s="5" t="s">
        <v>20</v>
      </c>
    </row>
    <row r="11" spans="1:5" x14ac:dyDescent="0.2">
      <c r="A11" s="5" t="s">
        <v>5</v>
      </c>
      <c r="B11" s="5" t="s">
        <v>21</v>
      </c>
      <c r="C11" s="11">
        <v>28</v>
      </c>
      <c r="D11" s="5" t="s">
        <v>7</v>
      </c>
    </row>
    <row r="12" spans="1:5" x14ac:dyDescent="0.2">
      <c r="A12" s="5" t="s">
        <v>5</v>
      </c>
      <c r="B12" s="5" t="s">
        <v>22</v>
      </c>
      <c r="C12" s="10">
        <f>C9*2*C10/C11</f>
        <v>81.428571428571431</v>
      </c>
      <c r="D12" s="5" t="s">
        <v>16</v>
      </c>
      <c r="E12">
        <f>C9*2*C10</f>
        <v>2280</v>
      </c>
    </row>
    <row r="13" spans="1:5" x14ac:dyDescent="0.2">
      <c r="A13" s="5" t="s">
        <v>5</v>
      </c>
      <c r="B13" s="5" t="s">
        <v>23</v>
      </c>
      <c r="C13" s="10">
        <f>C8+C12</f>
        <v>461.42857142857144</v>
      </c>
      <c r="D13" s="5" t="s">
        <v>16</v>
      </c>
    </row>
    <row r="14" spans="1:5" x14ac:dyDescent="0.2">
      <c r="A14" s="5" t="s">
        <v>5</v>
      </c>
      <c r="B14" s="5" t="s">
        <v>24</v>
      </c>
      <c r="C14" s="7">
        <v>51</v>
      </c>
      <c r="D14" s="5" t="s">
        <v>25</v>
      </c>
    </row>
    <row r="15" spans="1:5" x14ac:dyDescent="0.2">
      <c r="A15" s="5" t="s">
        <v>26</v>
      </c>
      <c r="B15" s="5" t="s">
        <v>27</v>
      </c>
      <c r="C15" s="12">
        <v>5.3999999999999999E-2</v>
      </c>
      <c r="D15" s="5" t="s">
        <v>28</v>
      </c>
    </row>
    <row r="16" spans="1:5" x14ac:dyDescent="0.2">
      <c r="A16" s="5" t="s">
        <v>26</v>
      </c>
      <c r="B16" s="5" t="s">
        <v>29</v>
      </c>
      <c r="C16" s="12">
        <v>3.3000000000000002E-2</v>
      </c>
      <c r="D16" s="5" t="s">
        <v>28</v>
      </c>
    </row>
    <row r="17" spans="1:4" x14ac:dyDescent="0.2">
      <c r="A17" s="5" t="s">
        <v>26</v>
      </c>
      <c r="B17" s="5" t="s">
        <v>30</v>
      </c>
      <c r="C17" s="8">
        <v>2.35</v>
      </c>
      <c r="D17" s="5" t="s">
        <v>12</v>
      </c>
    </row>
    <row r="18" spans="1:4" x14ac:dyDescent="0.2">
      <c r="A18" s="5" t="s">
        <v>26</v>
      </c>
      <c r="B18" s="5" t="s">
        <v>31</v>
      </c>
      <c r="C18" s="8">
        <v>2.2999999999999998</v>
      </c>
      <c r="D18" s="5" t="s">
        <v>12</v>
      </c>
    </row>
    <row r="19" spans="1:4" x14ac:dyDescent="0.2">
      <c r="A19" s="5" t="s">
        <v>32</v>
      </c>
      <c r="B19" s="5" t="s">
        <v>33</v>
      </c>
      <c r="C19" s="11">
        <v>100</v>
      </c>
      <c r="D19" s="5" t="s">
        <v>34</v>
      </c>
    </row>
    <row r="20" spans="1:4" x14ac:dyDescent="0.2">
      <c r="A20" s="5" t="s">
        <v>32</v>
      </c>
      <c r="B20" s="5" t="s">
        <v>35</v>
      </c>
      <c r="C20" s="11">
        <v>150</v>
      </c>
      <c r="D20" s="5" t="s">
        <v>36</v>
      </c>
    </row>
    <row r="21" spans="1:4" x14ac:dyDescent="0.2">
      <c r="A21" s="5" t="s">
        <v>32</v>
      </c>
      <c r="B21" s="5" t="s">
        <v>37</v>
      </c>
      <c r="C21" s="7">
        <v>30000000</v>
      </c>
      <c r="D21" s="5" t="s">
        <v>38</v>
      </c>
    </row>
    <row r="22" spans="1:4" x14ac:dyDescent="0.2">
      <c r="A22" s="5" t="s">
        <v>32</v>
      </c>
      <c r="B22" s="5" t="s">
        <v>39</v>
      </c>
      <c r="C22" s="11">
        <v>8</v>
      </c>
      <c r="D22" s="5" t="s">
        <v>40</v>
      </c>
    </row>
    <row r="23" spans="1:4" x14ac:dyDescent="0.2">
      <c r="A23" s="5" t="s">
        <v>32</v>
      </c>
      <c r="B23" s="5" t="s">
        <v>41</v>
      </c>
      <c r="C23" s="11">
        <v>0.2</v>
      </c>
      <c r="D23" s="5" t="s">
        <v>42</v>
      </c>
    </row>
    <row r="24" spans="1:4" x14ac:dyDescent="0.2">
      <c r="A24" s="5" t="s">
        <v>43</v>
      </c>
      <c r="B24" s="5" t="s">
        <v>44</v>
      </c>
      <c r="C24" s="7">
        <v>2000000</v>
      </c>
      <c r="D24" s="5" t="s">
        <v>38</v>
      </c>
    </row>
    <row r="25" spans="1:4" x14ac:dyDescent="0.2">
      <c r="A25" s="5" t="s">
        <v>43</v>
      </c>
      <c r="B25" s="5" t="s">
        <v>45</v>
      </c>
      <c r="C25" s="11">
        <v>3</v>
      </c>
      <c r="D25" s="5" t="s">
        <v>40</v>
      </c>
    </row>
    <row r="26" spans="1:4" x14ac:dyDescent="0.2">
      <c r="A26" s="5" t="s">
        <v>43</v>
      </c>
      <c r="B26" s="5" t="s">
        <v>46</v>
      </c>
      <c r="C26" s="11">
        <v>0.15</v>
      </c>
      <c r="D26" s="5" t="s">
        <v>42</v>
      </c>
    </row>
    <row r="27" spans="1:4" x14ac:dyDescent="0.2">
      <c r="A27" s="5" t="s">
        <v>47</v>
      </c>
      <c r="B27" s="5" t="s">
        <v>48</v>
      </c>
      <c r="C27" s="7">
        <v>100000</v>
      </c>
      <c r="D27" s="5" t="s">
        <v>49</v>
      </c>
    </row>
    <row r="28" spans="1:4" x14ac:dyDescent="0.2">
      <c r="A28" s="5" t="s">
        <v>47</v>
      </c>
      <c r="B28" s="5" t="s">
        <v>50</v>
      </c>
      <c r="C28" s="11">
        <v>240</v>
      </c>
      <c r="D28" s="5" t="s">
        <v>36</v>
      </c>
    </row>
    <row r="29" spans="1:4" x14ac:dyDescent="0.2">
      <c r="A29" s="5" t="s">
        <v>47</v>
      </c>
      <c r="B29" s="5" t="s">
        <v>51</v>
      </c>
      <c r="C29" s="11">
        <v>5</v>
      </c>
      <c r="D29" s="5" t="s">
        <v>52</v>
      </c>
    </row>
    <row r="30" spans="1:4" x14ac:dyDescent="0.2">
      <c r="A30" s="5" t="s">
        <v>47</v>
      </c>
      <c r="B30" s="5" t="s">
        <v>53</v>
      </c>
      <c r="C30" s="7">
        <v>96</v>
      </c>
      <c r="D30" s="5" t="s">
        <v>54</v>
      </c>
    </row>
    <row r="31" spans="1:4" x14ac:dyDescent="0.2">
      <c r="A31" s="5" t="s">
        <v>47</v>
      </c>
      <c r="B31" s="5" t="s">
        <v>55</v>
      </c>
      <c r="C31" s="7">
        <v>3500</v>
      </c>
      <c r="D31" s="5" t="s">
        <v>56</v>
      </c>
    </row>
    <row r="32" spans="1:4" x14ac:dyDescent="0.2">
      <c r="A32" s="5" t="s">
        <v>47</v>
      </c>
      <c r="B32" s="5" t="s">
        <v>57</v>
      </c>
      <c r="C32" s="11">
        <v>8</v>
      </c>
      <c r="D32" s="5" t="s">
        <v>58</v>
      </c>
    </row>
    <row r="33" spans="1:4" x14ac:dyDescent="0.2">
      <c r="A33" s="5" t="s">
        <v>47</v>
      </c>
      <c r="B33" s="5" t="s">
        <v>59</v>
      </c>
      <c r="C33" s="11">
        <v>7</v>
      </c>
      <c r="D33" s="5" t="s">
        <v>52</v>
      </c>
    </row>
    <row r="34" spans="1:4" x14ac:dyDescent="0.2">
      <c r="A34" s="5" t="s">
        <v>47</v>
      </c>
      <c r="B34" s="5" t="s">
        <v>60</v>
      </c>
      <c r="C34" s="11">
        <v>75</v>
      </c>
      <c r="D34" s="5" t="s">
        <v>52</v>
      </c>
    </row>
    <row r="35" spans="1:4" x14ac:dyDescent="0.2">
      <c r="A35" s="5" t="s">
        <v>61</v>
      </c>
      <c r="B35" s="5" t="s">
        <v>62</v>
      </c>
      <c r="C35" s="11">
        <v>5</v>
      </c>
      <c r="D35" s="5" t="s">
        <v>63</v>
      </c>
    </row>
    <row r="36" spans="1:4" x14ac:dyDescent="0.2">
      <c r="A36" s="5" t="s">
        <v>61</v>
      </c>
      <c r="B36" s="5" t="s">
        <v>64</v>
      </c>
      <c r="C36" s="7">
        <v>62</v>
      </c>
      <c r="D36" s="5" t="s">
        <v>54</v>
      </c>
    </row>
    <row r="37" spans="1:4" x14ac:dyDescent="0.2">
      <c r="A37" s="5" t="s">
        <v>61</v>
      </c>
      <c r="B37" s="5" t="s">
        <v>65</v>
      </c>
      <c r="C37" s="11">
        <v>15</v>
      </c>
      <c r="D37" s="5" t="s">
        <v>52</v>
      </c>
    </row>
    <row r="38" spans="1:4" x14ac:dyDescent="0.2">
      <c r="A38" s="5" t="s">
        <v>61</v>
      </c>
      <c r="B38" s="5" t="s">
        <v>66</v>
      </c>
      <c r="C38" s="11">
        <v>22</v>
      </c>
      <c r="D38" s="5" t="s">
        <v>52</v>
      </c>
    </row>
    <row r="39" spans="1:4" x14ac:dyDescent="0.2">
      <c r="A39" s="5" t="s">
        <v>61</v>
      </c>
      <c r="B39" s="5" t="s">
        <v>67</v>
      </c>
      <c r="C39" s="7">
        <v>62</v>
      </c>
      <c r="D39" s="5" t="s">
        <v>54</v>
      </c>
    </row>
    <row r="40" spans="1:4" x14ac:dyDescent="0.2">
      <c r="A40" s="5" t="s">
        <v>61</v>
      </c>
      <c r="B40" s="5" t="s">
        <v>68</v>
      </c>
      <c r="C40" s="11">
        <v>6</v>
      </c>
      <c r="D40" s="5" t="s">
        <v>69</v>
      </c>
    </row>
    <row r="41" spans="1:4" x14ac:dyDescent="0.2">
      <c r="A41" s="5" t="s">
        <v>61</v>
      </c>
      <c r="B41" s="5" t="s">
        <v>70</v>
      </c>
      <c r="C41" s="11">
        <v>6</v>
      </c>
      <c r="D41" s="5" t="s">
        <v>69</v>
      </c>
    </row>
    <row r="42" spans="1:4" x14ac:dyDescent="0.2">
      <c r="A42" s="5" t="s">
        <v>61</v>
      </c>
      <c r="B42" s="5" t="s">
        <v>71</v>
      </c>
      <c r="C42" s="11">
        <v>350</v>
      </c>
      <c r="D42" s="5" t="s">
        <v>7</v>
      </c>
    </row>
    <row r="43" spans="1:4" x14ac:dyDescent="0.2">
      <c r="A43" s="5" t="s">
        <v>72</v>
      </c>
      <c r="B43" s="5" t="s">
        <v>73</v>
      </c>
      <c r="C43" s="7">
        <v>200000</v>
      </c>
      <c r="D43" s="5" t="s">
        <v>49</v>
      </c>
    </row>
    <row r="44" spans="1:4" x14ac:dyDescent="0.2">
      <c r="A44" s="5" t="s">
        <v>72</v>
      </c>
      <c r="B44" s="5" t="s">
        <v>74</v>
      </c>
      <c r="C44" s="11">
        <v>30</v>
      </c>
      <c r="D44" s="5" t="s">
        <v>75</v>
      </c>
    </row>
    <row r="45" spans="1:4" x14ac:dyDescent="0.2">
      <c r="A45" s="5" t="s">
        <v>72</v>
      </c>
      <c r="B45" s="5" t="s">
        <v>76</v>
      </c>
      <c r="C45" s="11">
        <v>10</v>
      </c>
      <c r="D45" s="5" t="s">
        <v>58</v>
      </c>
    </row>
    <row r="46" spans="1:4" x14ac:dyDescent="0.2">
      <c r="A46" s="5" t="s">
        <v>77</v>
      </c>
      <c r="B46" s="5" t="s">
        <v>78</v>
      </c>
      <c r="C46" s="12"/>
      <c r="D46" s="5" t="s">
        <v>79</v>
      </c>
    </row>
    <row r="47" spans="1:4" x14ac:dyDescent="0.2">
      <c r="A47" s="5" t="s">
        <v>80</v>
      </c>
      <c r="B47" s="5" t="s">
        <v>81</v>
      </c>
      <c r="C47" s="11">
        <v>77</v>
      </c>
      <c r="D47" s="5" t="s">
        <v>18</v>
      </c>
    </row>
    <row r="48" spans="1:4" x14ac:dyDescent="0.2">
      <c r="A48" s="5" t="s">
        <v>80</v>
      </c>
      <c r="B48" s="5" t="s">
        <v>82</v>
      </c>
      <c r="C48" s="7">
        <v>95</v>
      </c>
      <c r="D48" s="5" t="s">
        <v>20</v>
      </c>
    </row>
    <row r="49" spans="1:5" x14ac:dyDescent="0.2">
      <c r="A49" s="5" t="s">
        <v>80</v>
      </c>
      <c r="B49" s="5" t="s">
        <v>83</v>
      </c>
      <c r="C49" s="11">
        <v>32</v>
      </c>
      <c r="D49" s="5" t="s">
        <v>7</v>
      </c>
    </row>
    <row r="50" spans="1:5" x14ac:dyDescent="0.2">
      <c r="A50" s="5" t="s">
        <v>80</v>
      </c>
      <c r="B50" s="5" t="s">
        <v>84</v>
      </c>
      <c r="C50" s="10">
        <f>C47*2*C48/C49</f>
        <v>457.1875</v>
      </c>
      <c r="D50" s="5" t="s">
        <v>16</v>
      </c>
    </row>
    <row r="51" spans="1:5" x14ac:dyDescent="0.2">
      <c r="A51" s="5" t="s">
        <v>85</v>
      </c>
      <c r="B51" s="5" t="s">
        <v>86</v>
      </c>
      <c r="C51" s="7">
        <v>20000</v>
      </c>
      <c r="D51" s="5" t="s">
        <v>56</v>
      </c>
      <c r="E51">
        <f>11*C30*8</f>
        <v>8448</v>
      </c>
    </row>
    <row r="52" spans="1:5" x14ac:dyDescent="0.2">
      <c r="A52" s="5" t="s">
        <v>85</v>
      </c>
      <c r="B52" s="5" t="s">
        <v>87</v>
      </c>
      <c r="C52" s="7">
        <v>12000</v>
      </c>
      <c r="D52" s="5" t="s">
        <v>56</v>
      </c>
    </row>
    <row r="53" spans="1:5" x14ac:dyDescent="0.2">
      <c r="A53" s="5" t="s">
        <v>85</v>
      </c>
      <c r="B53" s="5" t="s">
        <v>88</v>
      </c>
      <c r="C53" s="7"/>
      <c r="D53" s="5" t="s">
        <v>56</v>
      </c>
    </row>
    <row r="54" spans="1:5" x14ac:dyDescent="0.2">
      <c r="A54" s="5" t="s">
        <v>85</v>
      </c>
      <c r="B54" s="5" t="s">
        <v>72</v>
      </c>
      <c r="C54" s="7">
        <v>12000</v>
      </c>
      <c r="D54" s="5" t="s">
        <v>56</v>
      </c>
    </row>
    <row r="55" spans="1:5" x14ac:dyDescent="0.2">
      <c r="A55" s="5" t="s">
        <v>85</v>
      </c>
      <c r="B55" s="5" t="s">
        <v>89</v>
      </c>
      <c r="C55" s="7">
        <v>18000</v>
      </c>
      <c r="D55" s="5" t="s">
        <v>56</v>
      </c>
    </row>
    <row r="56" spans="1:5" x14ac:dyDescent="0.2">
      <c r="A56" s="5" t="s">
        <v>85</v>
      </c>
      <c r="B56" s="5" t="s">
        <v>90</v>
      </c>
      <c r="C56" s="11">
        <f>C42</f>
        <v>350</v>
      </c>
      <c r="D56" s="5" t="s">
        <v>91</v>
      </c>
    </row>
    <row r="57" spans="1:5" x14ac:dyDescent="0.2">
      <c r="A57" s="5" t="s">
        <v>85</v>
      </c>
      <c r="B57" s="5" t="s">
        <v>92</v>
      </c>
      <c r="C57" s="10">
        <v>0.7</v>
      </c>
      <c r="D57" s="5" t="s">
        <v>16</v>
      </c>
    </row>
    <row r="58" spans="1:5" x14ac:dyDescent="0.2">
      <c r="A58" s="5" t="s">
        <v>93</v>
      </c>
      <c r="B58" s="5" t="s">
        <v>94</v>
      </c>
      <c r="C58" s="11">
        <v>0.5</v>
      </c>
      <c r="D58" s="5" t="s">
        <v>95</v>
      </c>
    </row>
    <row r="59" spans="1:5" x14ac:dyDescent="0.2">
      <c r="A59" s="5" t="s">
        <v>93</v>
      </c>
      <c r="B59" s="5" t="s">
        <v>96</v>
      </c>
      <c r="C59" s="11">
        <v>0.12</v>
      </c>
      <c r="D59" s="5" t="s">
        <v>95</v>
      </c>
    </row>
    <row r="60" spans="1:5" x14ac:dyDescent="0.2">
      <c r="A60" s="5" t="s">
        <v>93</v>
      </c>
      <c r="B60" s="5" t="s">
        <v>97</v>
      </c>
      <c r="C60" s="7">
        <v>61</v>
      </c>
      <c r="D60" s="5" t="s">
        <v>25</v>
      </c>
    </row>
    <row r="61" spans="1:5" x14ac:dyDescent="0.2">
      <c r="A61" s="5" t="s">
        <v>93</v>
      </c>
      <c r="B61" s="5" t="s">
        <v>98</v>
      </c>
      <c r="C61" s="7">
        <v>61</v>
      </c>
      <c r="D61" s="5" t="s">
        <v>25</v>
      </c>
    </row>
    <row r="62" spans="1:5" x14ac:dyDescent="0.2">
      <c r="A62" s="5" t="s">
        <v>93</v>
      </c>
      <c r="B62" s="5" t="s">
        <v>99</v>
      </c>
      <c r="C62" s="12">
        <v>1</v>
      </c>
      <c r="D62" s="5" t="s">
        <v>100</v>
      </c>
    </row>
    <row r="63" spans="1:5" x14ac:dyDescent="0.2">
      <c r="A63" s="5" t="s">
        <v>93</v>
      </c>
      <c r="B63" s="5" t="s">
        <v>101</v>
      </c>
      <c r="C63" s="12">
        <v>1</v>
      </c>
      <c r="D63" s="5" t="s">
        <v>100</v>
      </c>
    </row>
    <row r="64" spans="1:5" x14ac:dyDescent="0.2">
      <c r="A64" s="5" t="s">
        <v>93</v>
      </c>
      <c r="B64" s="5" t="s">
        <v>102</v>
      </c>
      <c r="C64" s="7">
        <v>0.2</v>
      </c>
      <c r="D64" s="5" t="s">
        <v>54</v>
      </c>
    </row>
    <row r="65" spans="1:4" x14ac:dyDescent="0.2">
      <c r="A65" s="5" t="s">
        <v>93</v>
      </c>
      <c r="B65" s="5" t="s">
        <v>103</v>
      </c>
      <c r="C65" s="7">
        <v>3000</v>
      </c>
      <c r="D65" s="5" t="s">
        <v>56</v>
      </c>
    </row>
    <row r="66" spans="1:4" x14ac:dyDescent="0.2">
      <c r="A66" s="5" t="s">
        <v>93</v>
      </c>
      <c r="B66" s="5" t="s">
        <v>104</v>
      </c>
      <c r="C66" s="7">
        <v>2500</v>
      </c>
      <c r="D66" s="5" t="s">
        <v>56</v>
      </c>
    </row>
    <row r="67" spans="1:4" x14ac:dyDescent="0.2">
      <c r="A67" s="5" t="s">
        <v>93</v>
      </c>
      <c r="B67" s="5" t="s">
        <v>105</v>
      </c>
      <c r="C67" s="11">
        <v>5000</v>
      </c>
      <c r="D67" s="5" t="s">
        <v>106</v>
      </c>
    </row>
    <row r="68" spans="1:4" x14ac:dyDescent="0.2">
      <c r="A68" s="5" t="s">
        <v>93</v>
      </c>
      <c r="B68" s="5" t="s">
        <v>107</v>
      </c>
      <c r="C68" s="10">
        <f>(C65+C66)/C67</f>
        <v>1.1000000000000001</v>
      </c>
      <c r="D68" s="5" t="s">
        <v>16</v>
      </c>
    </row>
    <row r="69" spans="1:4" x14ac:dyDescent="0.2">
      <c r="A69" s="5" t="s">
        <v>93</v>
      </c>
      <c r="B69" s="5" t="s">
        <v>108</v>
      </c>
      <c r="C69" s="10">
        <f>C58*C60 + C58*C62*C64</f>
        <v>30.6</v>
      </c>
      <c r="D69" s="5" t="s">
        <v>16</v>
      </c>
    </row>
    <row r="70" spans="1:4" x14ac:dyDescent="0.2">
      <c r="A70" s="5" t="s">
        <v>93</v>
      </c>
      <c r="B70" s="5" t="s">
        <v>109</v>
      </c>
      <c r="C70" s="10">
        <f>C59*C61 + C59*C63*C64</f>
        <v>7.3439999999999994</v>
      </c>
      <c r="D70" s="5" t="s">
        <v>16</v>
      </c>
    </row>
    <row r="71" spans="1:4" x14ac:dyDescent="0.2">
      <c r="A71" s="5" t="s">
        <v>93</v>
      </c>
      <c r="B71" s="5" t="s">
        <v>110</v>
      </c>
      <c r="C71" s="10">
        <f>C68+C69</f>
        <v>31.700000000000003</v>
      </c>
      <c r="D71" s="5" t="s">
        <v>16</v>
      </c>
    </row>
    <row r="72" spans="1:4" x14ac:dyDescent="0.2">
      <c r="A72" s="5" t="s">
        <v>93</v>
      </c>
      <c r="B72" s="5" t="s">
        <v>111</v>
      </c>
      <c r="C72" s="10">
        <f>C68+C70</f>
        <v>8.4439999999999991</v>
      </c>
      <c r="D72" s="5" t="s">
        <v>16</v>
      </c>
    </row>
  </sheetData>
  <mergeCells count="1">
    <mergeCell ref="A1:D1"/>
  </mergeCells>
  <dataValidations count="1">
    <dataValidation type="list" sqref="C4" xr:uid="{00000000-0002-0000-0000-000000000000}">
      <formula1>"MT,CFT"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zoomScale="125" zoomScaleNormal="125" workbookViewId="0">
      <pane ySplit="3" topLeftCell="A4" activePane="bottomLeft" state="frozen"/>
      <selection pane="bottomLeft" activeCell="B7" sqref="B7"/>
    </sheetView>
  </sheetViews>
  <sheetFormatPr baseColWidth="10" defaultColWidth="8.6640625" defaultRowHeight="15" customHeight="1" x14ac:dyDescent="0.2"/>
  <cols>
    <col min="1" max="1" width="22" customWidth="1"/>
    <col min="2" max="3" width="14" customWidth="1"/>
    <col min="4" max="7" width="16" customWidth="1"/>
  </cols>
  <sheetData>
    <row r="1" spans="1:7" ht="15.75" customHeight="1" x14ac:dyDescent="0.2">
      <c r="A1" s="2" t="s">
        <v>112</v>
      </c>
      <c r="B1" s="2"/>
      <c r="C1" s="2"/>
      <c r="D1" s="2"/>
      <c r="E1" s="2"/>
      <c r="F1" s="2"/>
      <c r="G1" s="2"/>
    </row>
    <row r="3" spans="1:7" ht="15.75" customHeight="1" x14ac:dyDescent="0.2">
      <c r="A3" s="4" t="s">
        <v>113</v>
      </c>
      <c r="B3" s="4" t="s">
        <v>114</v>
      </c>
      <c r="C3" s="4" t="s">
        <v>115</v>
      </c>
      <c r="D3" s="4" t="s">
        <v>116</v>
      </c>
      <c r="E3" s="4" t="s">
        <v>117</v>
      </c>
      <c r="F3" s="4" t="s">
        <v>118</v>
      </c>
      <c r="G3" s="4" t="s">
        <v>119</v>
      </c>
    </row>
    <row r="4" spans="1:7" x14ac:dyDescent="0.2">
      <c r="A4" s="5" t="s">
        <v>120</v>
      </c>
      <c r="B4" s="12"/>
      <c r="C4" s="12">
        <v>0.2</v>
      </c>
      <c r="D4" s="13">
        <f t="shared" ref="D4:E9" si="0">B4</f>
        <v>0</v>
      </c>
      <c r="E4" s="13">
        <f t="shared" si="0"/>
        <v>0.2</v>
      </c>
      <c r="F4" s="13">
        <f>B4*Inputs!C17</f>
        <v>0</v>
      </c>
      <c r="G4" s="13">
        <f>C4*Inputs!C18</f>
        <v>0.45999999999999996</v>
      </c>
    </row>
    <row r="5" spans="1:7" x14ac:dyDescent="0.2">
      <c r="A5" s="5" t="s">
        <v>121</v>
      </c>
      <c r="B5" s="12">
        <v>0.17399999999999999</v>
      </c>
      <c r="C5" s="12">
        <v>0.25</v>
      </c>
      <c r="D5" s="13">
        <f t="shared" si="0"/>
        <v>0.17399999999999999</v>
      </c>
      <c r="E5" s="13">
        <f t="shared" si="0"/>
        <v>0.25</v>
      </c>
      <c r="F5" s="13">
        <f>B5*Inputs!C17</f>
        <v>0.40889999999999999</v>
      </c>
      <c r="G5" s="13">
        <f>C5*Inputs!C18</f>
        <v>0.57499999999999996</v>
      </c>
    </row>
    <row r="6" spans="1:7" x14ac:dyDescent="0.2">
      <c r="A6" s="5" t="s">
        <v>122</v>
      </c>
      <c r="B6" s="12">
        <v>0.25</v>
      </c>
      <c r="C6" s="12">
        <v>0.1</v>
      </c>
      <c r="D6" s="13">
        <f t="shared" si="0"/>
        <v>0.25</v>
      </c>
      <c r="E6" s="13">
        <f t="shared" si="0"/>
        <v>0.1</v>
      </c>
      <c r="F6" s="13">
        <f>B6*Inputs!C17</f>
        <v>0.58750000000000002</v>
      </c>
      <c r="G6" s="13">
        <f>C6*Inputs!C18</f>
        <v>0.22999999999999998</v>
      </c>
    </row>
    <row r="7" spans="1:7" x14ac:dyDescent="0.2">
      <c r="A7" s="5" t="s">
        <v>123</v>
      </c>
      <c r="B7" s="12">
        <v>0.52200000000000002</v>
      </c>
      <c r="C7" s="12">
        <v>0.41699999999999998</v>
      </c>
      <c r="D7" s="13">
        <f t="shared" si="0"/>
        <v>0.52200000000000002</v>
      </c>
      <c r="E7" s="13">
        <f t="shared" si="0"/>
        <v>0.41699999999999998</v>
      </c>
      <c r="F7" s="13">
        <f>B7*Inputs!C17</f>
        <v>1.2267000000000001</v>
      </c>
      <c r="G7" s="13">
        <f>C7*Inputs!C18</f>
        <v>0.95909999999999984</v>
      </c>
    </row>
    <row r="8" spans="1:7" x14ac:dyDescent="0.2">
      <c r="A8" s="5" t="s">
        <v>124</v>
      </c>
      <c r="B8" s="12"/>
      <c r="C8" s="12"/>
      <c r="D8" s="13">
        <f t="shared" si="0"/>
        <v>0</v>
      </c>
      <c r="E8" s="13">
        <f t="shared" si="0"/>
        <v>0</v>
      </c>
      <c r="F8" s="13">
        <f>B8*Inputs!C17</f>
        <v>0</v>
      </c>
      <c r="G8" s="13">
        <f>C8*Inputs!C18</f>
        <v>0</v>
      </c>
    </row>
    <row r="9" spans="1:7" x14ac:dyDescent="0.2">
      <c r="A9" s="5" t="s">
        <v>125</v>
      </c>
      <c r="B9" s="14">
        <f>Inputs!C15</f>
        <v>5.3999999999999999E-2</v>
      </c>
      <c r="C9" s="14">
        <f>Inputs!C16</f>
        <v>3.3000000000000002E-2</v>
      </c>
      <c r="D9" s="13">
        <f t="shared" si="0"/>
        <v>5.3999999999999999E-2</v>
      </c>
      <c r="E9" s="13">
        <f t="shared" si="0"/>
        <v>3.3000000000000002E-2</v>
      </c>
      <c r="F9" s="13">
        <f>B9*Inputs!C17</f>
        <v>0.12690000000000001</v>
      </c>
      <c r="G9" s="13">
        <f>C9*Inputs!C18</f>
        <v>7.5899999999999995E-2</v>
      </c>
    </row>
    <row r="10" spans="1:7" x14ac:dyDescent="0.2">
      <c r="A10" s="5" t="s">
        <v>126</v>
      </c>
      <c r="B10" s="15">
        <f t="shared" ref="B10:G10" si="1">SUM(B4:B9)</f>
        <v>1</v>
      </c>
      <c r="C10" s="15">
        <f t="shared" si="1"/>
        <v>1</v>
      </c>
      <c r="D10" s="16">
        <f t="shared" si="1"/>
        <v>1</v>
      </c>
      <c r="E10" s="16">
        <f t="shared" si="1"/>
        <v>1</v>
      </c>
      <c r="F10" s="16">
        <f t="shared" si="1"/>
        <v>2.35</v>
      </c>
      <c r="G10" s="16">
        <f t="shared" si="1"/>
        <v>2.2999999999999998</v>
      </c>
    </row>
    <row r="12" spans="1:7" x14ac:dyDescent="0.2">
      <c r="A12" s="17" t="s">
        <v>127</v>
      </c>
      <c r="B12" s="1" t="s">
        <v>128</v>
      </c>
      <c r="C12" s="1"/>
      <c r="D12" s="1"/>
      <c r="E12" s="1"/>
      <c r="F12" s="1"/>
      <c r="G12" s="1"/>
    </row>
  </sheetData>
  <mergeCells count="2">
    <mergeCell ref="A1:G1"/>
    <mergeCell ref="B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zoomScale="125" zoomScaleNormal="125" workbookViewId="0">
      <pane ySplit="3" topLeftCell="A6" activePane="bottomLeft" state="frozen"/>
      <selection pane="bottomLeft" activeCell="F22" sqref="F22"/>
    </sheetView>
  </sheetViews>
  <sheetFormatPr baseColWidth="10" defaultColWidth="8.6640625" defaultRowHeight="15" customHeight="1" x14ac:dyDescent="0.2"/>
  <cols>
    <col min="1" max="1" width="28" customWidth="1"/>
    <col min="2" max="2" width="44" customWidth="1"/>
    <col min="3" max="6" width="16" customWidth="1"/>
    <col min="7" max="7" width="18" customWidth="1"/>
  </cols>
  <sheetData>
    <row r="1" spans="1:7" x14ac:dyDescent="0.2">
      <c r="A1" s="2" t="s">
        <v>129</v>
      </c>
      <c r="B1" s="2"/>
      <c r="C1" s="2"/>
      <c r="D1" s="2"/>
      <c r="E1" s="2"/>
      <c r="F1" s="2"/>
      <c r="G1" s="2"/>
    </row>
    <row r="3" spans="1:7" x14ac:dyDescent="0.2">
      <c r="A3" s="4" t="s">
        <v>130</v>
      </c>
      <c r="B3" s="4" t="s">
        <v>131</v>
      </c>
      <c r="C3" s="4" t="s">
        <v>132</v>
      </c>
      <c r="D3" s="4" t="s">
        <v>133</v>
      </c>
      <c r="E3" s="4" t="s">
        <v>134</v>
      </c>
      <c r="F3" s="4" t="s">
        <v>135</v>
      </c>
      <c r="G3" s="4" t="s">
        <v>136</v>
      </c>
    </row>
    <row r="4" spans="1:7" x14ac:dyDescent="0.2">
      <c r="A4" s="18" t="s">
        <v>137</v>
      </c>
      <c r="B4" s="18" t="s">
        <v>138</v>
      </c>
      <c r="C4" s="19">
        <f>Inputs!$C$13*(1-Inputs!$C$15)</f>
        <v>436.51142857142855</v>
      </c>
      <c r="D4" s="19">
        <f>C4*Inputs!$C$17</f>
        <v>1025.8018571428572</v>
      </c>
      <c r="E4" s="19">
        <f>Inputs!$C$13*(1-Inputs!$C$16)</f>
        <v>446.20142857142855</v>
      </c>
      <c r="F4" s="19">
        <f>E4*Inputs!$C$18</f>
        <v>1026.2632857142855</v>
      </c>
      <c r="G4" s="19" t="s">
        <v>139</v>
      </c>
    </row>
    <row r="5" spans="1:7" x14ac:dyDescent="0.2">
      <c r="A5" s="18" t="s">
        <v>125</v>
      </c>
      <c r="B5" s="18" t="s">
        <v>140</v>
      </c>
      <c r="C5" s="19">
        <f>Inputs!$C$14*1000*Inputs!$C$15</f>
        <v>2754</v>
      </c>
      <c r="D5" s="19">
        <f>C5*Inputs!$C$17</f>
        <v>6471.9000000000005</v>
      </c>
      <c r="E5" s="19">
        <f>Inputs!$C$14*1000*Inputs!$C$16</f>
        <v>1683</v>
      </c>
      <c r="F5" s="19">
        <f>E5*Inputs!$C$18</f>
        <v>3870.8999999999996</v>
      </c>
      <c r="G5" s="19"/>
    </row>
    <row r="6" spans="1:7" x14ac:dyDescent="0.2">
      <c r="A6" s="18" t="s">
        <v>141</v>
      </c>
      <c r="B6" s="18" t="s">
        <v>142</v>
      </c>
      <c r="C6" s="19">
        <f>Inputs!$C$21/Inputs!$C$22*(1+Inputs!$C$23)/12/Inputs!$C$20/Inputs!$C$19</f>
        <v>25</v>
      </c>
      <c r="D6" s="19">
        <f>C6*Inputs!$C$17</f>
        <v>58.75</v>
      </c>
      <c r="E6" s="19">
        <f>Inputs!$C$21/Inputs!$C$22*(1+Inputs!$C$23)/12/Inputs!$C$20/Inputs!$C$19</f>
        <v>25</v>
      </c>
      <c r="F6" s="19">
        <f>E6*Inputs!$C$18</f>
        <v>57.499999999999993</v>
      </c>
      <c r="G6" s="19"/>
    </row>
    <row r="7" spans="1:7" x14ac:dyDescent="0.2">
      <c r="A7" s="18" t="s">
        <v>143</v>
      </c>
      <c r="B7" s="18" t="s">
        <v>144</v>
      </c>
      <c r="C7" s="19">
        <f>Inputs!$C$24/Inputs!$C$25*(1+Inputs!$C$26)/12/Inputs!$C$20/Inputs!$C$19</f>
        <v>4.2592592592592586</v>
      </c>
      <c r="D7" s="19">
        <f>C7*Inputs!$C$17</f>
        <v>10.009259259259258</v>
      </c>
      <c r="E7" s="19">
        <f>Inputs!$C$24/Inputs!$C$25*(1+Inputs!$C$26)/12/Inputs!$C$20/Inputs!$C$19</f>
        <v>4.2592592592592586</v>
      </c>
      <c r="F7" s="19">
        <f>E7*Inputs!$C$18</f>
        <v>9.7962962962962941</v>
      </c>
      <c r="G7" s="19"/>
    </row>
    <row r="8" spans="1:7" x14ac:dyDescent="0.2">
      <c r="A8" s="18" t="s">
        <v>145</v>
      </c>
      <c r="B8" s="18" t="s">
        <v>146</v>
      </c>
      <c r="C8" s="19">
        <f>Inputs!$C$27/Inputs!$C$28/Inputs!$C$19</f>
        <v>4.166666666666667</v>
      </c>
      <c r="D8" s="19">
        <f>C8*Inputs!$C$17</f>
        <v>9.7916666666666679</v>
      </c>
      <c r="E8" s="19">
        <f>Inputs!$C$27/Inputs!$C$28/Inputs!$C$19</f>
        <v>4.166666666666667</v>
      </c>
      <c r="F8" s="19">
        <f>E8*Inputs!$C$18</f>
        <v>9.5833333333333339</v>
      </c>
      <c r="G8" s="19"/>
    </row>
    <row r="9" spans="1:7" x14ac:dyDescent="0.2">
      <c r="A9" s="18" t="s">
        <v>51</v>
      </c>
      <c r="B9" s="18" t="s">
        <v>147</v>
      </c>
      <c r="C9" s="19">
        <f>Inputs!$C$29*Inputs!$C$30/Inputs!$C$19</f>
        <v>4.8</v>
      </c>
      <c r="D9" s="19">
        <f>C9*Inputs!$C$17</f>
        <v>11.28</v>
      </c>
      <c r="E9" s="19">
        <f>Inputs!$C$29*Inputs!$C$30/Inputs!$C$19</f>
        <v>4.8</v>
      </c>
      <c r="F9" s="19">
        <f>E9*Inputs!$C$18</f>
        <v>11.04</v>
      </c>
      <c r="G9" s="19"/>
    </row>
    <row r="10" spans="1:7" x14ac:dyDescent="0.2">
      <c r="A10" s="18" t="s">
        <v>55</v>
      </c>
      <c r="B10" s="18" t="s">
        <v>148</v>
      </c>
      <c r="C10" s="19">
        <f>Inputs!$C$31/Inputs!$C$32/Inputs!$C$19</f>
        <v>4.375</v>
      </c>
      <c r="D10" s="19">
        <f>C10*Inputs!$C$17</f>
        <v>10.28125</v>
      </c>
      <c r="E10" s="19">
        <f>Inputs!$C$31/Inputs!$C$32/Inputs!$C$19</f>
        <v>4.375</v>
      </c>
      <c r="F10" s="19">
        <f>E10*Inputs!$C$18</f>
        <v>10.0625</v>
      </c>
      <c r="G10" s="19"/>
    </row>
    <row r="11" spans="1:7" x14ac:dyDescent="0.2">
      <c r="A11" s="18" t="s">
        <v>59</v>
      </c>
      <c r="B11" s="18" t="s">
        <v>147</v>
      </c>
      <c r="C11" s="19">
        <f>Inputs!$C$33*Inputs!$C$30/Inputs!$C$19</f>
        <v>6.72</v>
      </c>
      <c r="D11" s="19">
        <f>C11*Inputs!$C$17</f>
        <v>15.792</v>
      </c>
      <c r="E11" s="19">
        <f>Inputs!$C$33*Inputs!$C$30/Inputs!$C$19</f>
        <v>6.72</v>
      </c>
      <c r="F11" s="19">
        <f>E11*Inputs!$C$18</f>
        <v>15.455999999999998</v>
      </c>
      <c r="G11" s="19"/>
    </row>
    <row r="12" spans="1:7" x14ac:dyDescent="0.2">
      <c r="A12" s="18" t="s">
        <v>60</v>
      </c>
      <c r="B12" s="18" t="s">
        <v>147</v>
      </c>
      <c r="C12" s="19">
        <f>Inputs!$C$34*Inputs!$C$30/Inputs!$C$19</f>
        <v>72</v>
      </c>
      <c r="D12" s="19">
        <f>C12*Inputs!$C$17</f>
        <v>169.20000000000002</v>
      </c>
      <c r="E12" s="19">
        <f>Inputs!$C$34*Inputs!$C$30/Inputs!$C$19</f>
        <v>72</v>
      </c>
      <c r="F12" s="19">
        <f>E12*Inputs!$C$18</f>
        <v>165.6</v>
      </c>
      <c r="G12" s="19"/>
    </row>
    <row r="13" spans="1:7" x14ac:dyDescent="0.2">
      <c r="A13" s="18" t="s">
        <v>149</v>
      </c>
      <c r="B13" s="18" t="s">
        <v>150</v>
      </c>
      <c r="C13" s="19">
        <f>Inputs!$C$35*Inputs!$C$36</f>
        <v>310</v>
      </c>
      <c r="D13" s="19">
        <f>C13*Inputs!$C$17</f>
        <v>728.5</v>
      </c>
      <c r="E13" s="19">
        <f>Inputs!$C$35*Inputs!$C$36</f>
        <v>310</v>
      </c>
      <c r="F13" s="19">
        <f>E13*Inputs!$C$18</f>
        <v>713</v>
      </c>
      <c r="G13" s="19"/>
    </row>
    <row r="14" spans="1:7" x14ac:dyDescent="0.2">
      <c r="A14" s="18" t="s">
        <v>65</v>
      </c>
      <c r="B14" s="18" t="s">
        <v>151</v>
      </c>
      <c r="C14" s="19">
        <f>Inputs!$C$37*Inputs!$C$39*Inputs!$C$40/Inputs!$C$42</f>
        <v>15.942857142857143</v>
      </c>
      <c r="D14" s="19">
        <f>C14*Inputs!$C$17</f>
        <v>37.465714285714284</v>
      </c>
      <c r="E14" s="19">
        <f>Inputs!$C$37*Inputs!$C$39*Inputs!$C$40/Inputs!$C$42</f>
        <v>15.942857142857143</v>
      </c>
      <c r="F14" s="19">
        <f>E14*Inputs!$C$18</f>
        <v>36.668571428571425</v>
      </c>
      <c r="G14" s="19"/>
    </row>
    <row r="15" spans="1:7" x14ac:dyDescent="0.2">
      <c r="A15" s="18" t="s">
        <v>66</v>
      </c>
      <c r="B15" s="18" t="s">
        <v>152</v>
      </c>
      <c r="C15" s="19">
        <f>Inputs!$C$38*Inputs!$C$39*Inputs!$C$41/Inputs!$C$42</f>
        <v>23.382857142857144</v>
      </c>
      <c r="D15" s="19">
        <f>C15*Inputs!$C$17</f>
        <v>54.949714285714293</v>
      </c>
      <c r="E15" s="19">
        <f>Inputs!$C$38*Inputs!$C$39*Inputs!$C$41/Inputs!$C$42</f>
        <v>23.382857142857144</v>
      </c>
      <c r="F15" s="19">
        <f>E15*Inputs!$C$18</f>
        <v>53.780571428571427</v>
      </c>
      <c r="G15" s="19"/>
    </row>
    <row r="16" spans="1:7" x14ac:dyDescent="0.2">
      <c r="A16" s="18" t="s">
        <v>72</v>
      </c>
      <c r="B16" s="18" t="s">
        <v>153</v>
      </c>
      <c r="C16" s="19">
        <f>Inputs!$C$43/Inputs!$C$44/Inputs!$C$45/Inputs!$C$19</f>
        <v>6.6666666666666679</v>
      </c>
      <c r="D16" s="19">
        <f>C16*Inputs!$C$17</f>
        <v>15.66666666666667</v>
      </c>
      <c r="E16" s="19">
        <f>Inputs!$C$43/Inputs!$C$44/Inputs!$C$45/Inputs!$C$19</f>
        <v>6.6666666666666679</v>
      </c>
      <c r="F16" s="19">
        <f>E16*Inputs!$C$18</f>
        <v>15.333333333333336</v>
      </c>
      <c r="G16" s="19"/>
    </row>
    <row r="17" spans="1:7" x14ac:dyDescent="0.2">
      <c r="A17" s="20" t="s">
        <v>154</v>
      </c>
      <c r="B17" s="20" t="s">
        <v>155</v>
      </c>
      <c r="C17" s="21">
        <f>SUM(C4:C16)</f>
        <v>3667.8247354497348</v>
      </c>
      <c r="D17" s="21">
        <f>C17*Inputs!$C$17</f>
        <v>8619.3881283068768</v>
      </c>
      <c r="E17" s="21">
        <f>SUM(E4:E16)</f>
        <v>2606.5147354497349</v>
      </c>
      <c r="F17" s="21">
        <f>E17*Inputs!$C$18</f>
        <v>5994.9838915343898</v>
      </c>
      <c r="G17" s="21"/>
    </row>
    <row r="18" spans="1:7" x14ac:dyDescent="0.2">
      <c r="A18" s="20" t="s">
        <v>156</v>
      </c>
      <c r="B18" s="20" t="s">
        <v>157</v>
      </c>
      <c r="C18" s="21">
        <f>C17*Inputs!$C$46</f>
        <v>0</v>
      </c>
      <c r="D18" s="21">
        <f>C18*Inputs!$C$17</f>
        <v>0</v>
      </c>
      <c r="E18" s="21">
        <f>E17*Inputs!$C$46</f>
        <v>0</v>
      </c>
      <c r="F18" s="21">
        <f>E18*Inputs!$C$18</f>
        <v>0</v>
      </c>
      <c r="G18" s="21"/>
    </row>
    <row r="19" spans="1:7" x14ac:dyDescent="0.2">
      <c r="A19" s="20" t="s">
        <v>158</v>
      </c>
      <c r="B19" s="20" t="s">
        <v>159</v>
      </c>
      <c r="C19" s="21">
        <f>C17+C18</f>
        <v>3667.8247354497348</v>
      </c>
      <c r="D19" s="21">
        <f>C19*Inputs!$C$17</f>
        <v>8619.3881283068768</v>
      </c>
      <c r="E19" s="21">
        <f>E17+E18</f>
        <v>2606.5147354497349</v>
      </c>
      <c r="F19" s="21">
        <f>E19*Inputs!$C$18</f>
        <v>5994.9838915343898</v>
      </c>
      <c r="G19" s="21" t="s">
        <v>160</v>
      </c>
    </row>
    <row r="20" spans="1:7" x14ac:dyDescent="0.2">
      <c r="A20" s="18" t="s">
        <v>161</v>
      </c>
      <c r="B20" s="18" t="s">
        <v>162</v>
      </c>
      <c r="C20" s="19">
        <f>Inputs!$C$50</f>
        <v>457.1875</v>
      </c>
      <c r="D20" s="19">
        <f>C20*Inputs!$C$17</f>
        <v>1074.390625</v>
      </c>
      <c r="E20" s="19">
        <f>Inputs!$C$50</f>
        <v>457.1875</v>
      </c>
      <c r="F20" s="19">
        <f>E20*Inputs!$C$18</f>
        <v>1051.53125</v>
      </c>
      <c r="G20" s="19" t="s">
        <v>163</v>
      </c>
    </row>
    <row r="21" spans="1:7" x14ac:dyDescent="0.2">
      <c r="A21" s="18" t="s">
        <v>164</v>
      </c>
      <c r="B21" s="18" t="s">
        <v>165</v>
      </c>
      <c r="C21" s="19">
        <f>Inputs!$C$57</f>
        <v>0.7</v>
      </c>
      <c r="D21" s="19">
        <f>C21*Inputs!$C$17</f>
        <v>1.645</v>
      </c>
      <c r="E21" s="19">
        <f>Inputs!$C$57</f>
        <v>0.7</v>
      </c>
      <c r="F21" s="19">
        <f>E21*Inputs!$C$18</f>
        <v>1.6099999999999999</v>
      </c>
      <c r="G21" s="19"/>
    </row>
    <row r="22" spans="1:7" x14ac:dyDescent="0.2">
      <c r="A22" s="20" t="s">
        <v>166</v>
      </c>
      <c r="B22" s="20" t="s">
        <v>167</v>
      </c>
      <c r="C22" s="21">
        <f>SUM(C19:C21)</f>
        <v>4125.7122354497342</v>
      </c>
      <c r="D22" s="21">
        <f>C22*Inputs!$C$17</f>
        <v>9695.4237533068754</v>
      </c>
      <c r="E22" s="21">
        <f>SUM(E19:E21)</f>
        <v>3064.4022354497347</v>
      </c>
      <c r="F22" s="21">
        <f>E22*Inputs!$C$18</f>
        <v>7048.1251415343895</v>
      </c>
      <c r="G22" s="21" t="s">
        <v>168</v>
      </c>
    </row>
    <row r="23" spans="1:7" x14ac:dyDescent="0.2">
      <c r="A23" s="18" t="s">
        <v>169</v>
      </c>
      <c r="B23" s="18"/>
      <c r="C23" s="19"/>
      <c r="D23" s="19"/>
      <c r="E23" s="19"/>
      <c r="F23" s="19"/>
      <c r="G23" s="19">
        <f>Inputs!$C$68</f>
        <v>1.1000000000000001</v>
      </c>
    </row>
    <row r="24" spans="1:7" x14ac:dyDescent="0.2">
      <c r="A24" s="18" t="s">
        <v>170</v>
      </c>
      <c r="B24" s="18"/>
      <c r="C24" s="19"/>
      <c r="D24" s="19"/>
      <c r="E24" s="19"/>
      <c r="F24" s="19"/>
      <c r="G24" s="19">
        <f>Inputs!$C$69</f>
        <v>30.6</v>
      </c>
    </row>
    <row r="25" spans="1:7" x14ac:dyDescent="0.2">
      <c r="A25" s="20" t="s">
        <v>110</v>
      </c>
      <c r="B25" s="20"/>
      <c r="C25" s="21"/>
      <c r="D25" s="21"/>
      <c r="E25" s="21"/>
      <c r="F25" s="21"/>
      <c r="G25" s="21">
        <f>Inputs!$C$71</f>
        <v>31.700000000000003</v>
      </c>
    </row>
    <row r="26" spans="1:7" x14ac:dyDescent="0.2">
      <c r="A26" s="18" t="s">
        <v>171</v>
      </c>
      <c r="B26" s="18"/>
      <c r="C26" s="19"/>
      <c r="D26" s="19"/>
      <c r="E26" s="19"/>
      <c r="F26" s="19"/>
      <c r="G26" s="19">
        <f>Inputs!$C$68</f>
        <v>1.1000000000000001</v>
      </c>
    </row>
    <row r="27" spans="1:7" x14ac:dyDescent="0.2">
      <c r="A27" s="18" t="s">
        <v>172</v>
      </c>
      <c r="B27" s="18"/>
      <c r="C27" s="19"/>
      <c r="D27" s="19"/>
      <c r="E27" s="19"/>
      <c r="F27" s="19"/>
      <c r="G27" s="19">
        <f>Inputs!$C$70</f>
        <v>7.3439999999999994</v>
      </c>
    </row>
    <row r="28" spans="1:7" x14ac:dyDescent="0.2">
      <c r="A28" s="20" t="s">
        <v>111</v>
      </c>
      <c r="B28" s="20"/>
      <c r="C28" s="21"/>
      <c r="D28" s="21"/>
      <c r="E28" s="21"/>
      <c r="F28" s="21"/>
      <c r="G28" s="21">
        <f>Inputs!$C$72</f>
        <v>8.4439999999999991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03"/>
  <sheetViews>
    <sheetView topLeftCell="B1" zoomScale="139" zoomScaleNormal="139" workbookViewId="0">
      <pane ySplit="3" topLeftCell="A4" activePane="bottomLeft" state="frozen"/>
      <selection pane="bottomLeft" activeCell="K4" sqref="K4"/>
    </sheetView>
  </sheetViews>
  <sheetFormatPr baseColWidth="10" defaultColWidth="8.6640625" defaultRowHeight="15" customHeight="1" x14ac:dyDescent="0.2"/>
  <cols>
    <col min="1" max="1" width="10" customWidth="1"/>
    <col min="2" max="2" width="18" customWidth="1"/>
    <col min="3" max="3" width="10" customWidth="1"/>
    <col min="4" max="4" width="12" customWidth="1"/>
    <col min="5" max="15" width="14" customWidth="1"/>
    <col min="16" max="16" width="15" customWidth="1"/>
    <col min="17" max="25" width="14" customWidth="1"/>
    <col min="26" max="26" width="16" customWidth="1"/>
    <col min="27" max="27" width="10" customWidth="1"/>
    <col min="28" max="29" width="13" customWidth="1"/>
    <col min="30" max="32" width="10" customWidth="1"/>
    <col min="33" max="34" width="14" customWidth="1"/>
    <col min="35" max="36" width="12" customWidth="1"/>
  </cols>
  <sheetData>
    <row r="1" spans="1:36" ht="15.75" customHeight="1" x14ac:dyDescent="0.2">
      <c r="A1" s="3" t="s">
        <v>173</v>
      </c>
    </row>
    <row r="2" spans="1:36" x14ac:dyDescent="0.2">
      <c r="A2" s="22" t="s">
        <v>174</v>
      </c>
    </row>
    <row r="3" spans="1:36" ht="30.75" customHeight="1" x14ac:dyDescent="0.2">
      <c r="A3" s="4" t="s">
        <v>175</v>
      </c>
      <c r="B3" s="4" t="s">
        <v>176</v>
      </c>
      <c r="C3" s="4" t="s">
        <v>177</v>
      </c>
      <c r="D3" s="4" t="s">
        <v>178</v>
      </c>
      <c r="E3" s="4" t="s">
        <v>179</v>
      </c>
      <c r="F3" s="4" t="s">
        <v>180</v>
      </c>
      <c r="G3" s="4" t="s">
        <v>181</v>
      </c>
      <c r="H3" s="4" t="s">
        <v>182</v>
      </c>
      <c r="I3" s="4" t="s">
        <v>183</v>
      </c>
      <c r="J3" s="4" t="s">
        <v>184</v>
      </c>
      <c r="K3" s="4" t="s">
        <v>185</v>
      </c>
      <c r="L3" s="4" t="s">
        <v>186</v>
      </c>
      <c r="M3" s="4" t="s">
        <v>187</v>
      </c>
      <c r="N3" s="4" t="s">
        <v>188</v>
      </c>
      <c r="O3" s="4" t="s">
        <v>189</v>
      </c>
      <c r="P3" s="4" t="s">
        <v>190</v>
      </c>
      <c r="Q3" s="4" t="s">
        <v>191</v>
      </c>
      <c r="R3" s="4" t="s">
        <v>192</v>
      </c>
      <c r="S3" s="4" t="s">
        <v>193</v>
      </c>
      <c r="T3" s="4" t="s">
        <v>194</v>
      </c>
      <c r="U3" s="4" t="s">
        <v>195</v>
      </c>
      <c r="V3" s="4" t="s">
        <v>196</v>
      </c>
      <c r="W3" s="4" t="s">
        <v>197</v>
      </c>
      <c r="X3" s="4" t="s">
        <v>198</v>
      </c>
      <c r="Y3" s="4" t="s">
        <v>199</v>
      </c>
      <c r="Z3" s="4" t="s">
        <v>200</v>
      </c>
      <c r="AA3" s="4" t="s">
        <v>201</v>
      </c>
      <c r="AB3" s="4" t="s">
        <v>202</v>
      </c>
      <c r="AC3" s="4" t="s">
        <v>203</v>
      </c>
      <c r="AD3" s="4" t="s">
        <v>204</v>
      </c>
      <c r="AE3" s="4" t="s">
        <v>205</v>
      </c>
      <c r="AF3" s="4" t="s">
        <v>206</v>
      </c>
      <c r="AG3" s="4" t="s">
        <v>207</v>
      </c>
      <c r="AH3" s="4" t="s">
        <v>208</v>
      </c>
      <c r="AI3" s="4" t="s">
        <v>209</v>
      </c>
      <c r="AJ3" s="4" t="s">
        <v>210</v>
      </c>
    </row>
    <row r="4" spans="1:36" x14ac:dyDescent="0.2">
      <c r="A4" s="6" t="s">
        <v>211</v>
      </c>
      <c r="B4" s="6" t="s">
        <v>212</v>
      </c>
      <c r="C4" s="6" t="s">
        <v>213</v>
      </c>
      <c r="D4" s="6" t="s">
        <v>219</v>
      </c>
      <c r="E4" s="11">
        <v>1100</v>
      </c>
      <c r="F4" s="11">
        <v>5.5</v>
      </c>
      <c r="G4" s="11">
        <v>50</v>
      </c>
      <c r="H4" s="11">
        <v>57.75</v>
      </c>
      <c r="I4" s="10">
        <f t="shared" ref="I4:I35" si="0">IF(D4="GEOMETRY",IF(AND(E4&gt;0,F4&gt;0,G4&gt;0),E4*F4*(G4/1000),""),IF(AND(H4&gt;0,G4&gt;0),H4,""))</f>
        <v>57.75</v>
      </c>
      <c r="J4" s="10">
        <f t="shared" ref="J4:J35" si="1">IF(AND(I4&gt;0,G4&gt;0),I4/(G4/1000),"")</f>
        <v>1155</v>
      </c>
      <c r="K4" s="14">
        <f t="shared" ref="K4:K35" si="2">IF(AND(J4&gt;0,F4&gt;0),J4/F4,"")</f>
        <v>210</v>
      </c>
      <c r="L4" s="10">
        <f>IF(C4="BC",'Mix Design'!$B$9,IF(C4="DBM",'Mix Design'!$C$9,""))</f>
        <v>3.3000000000000002E-2</v>
      </c>
      <c r="M4" s="10">
        <f>IF(C4="BC",Inputs!$C$17,IF(C4="DBM",Inputs!$C$18,""))</f>
        <v>2.2999999999999998</v>
      </c>
      <c r="N4" s="10">
        <f t="shared" ref="N4:N35" si="3">IF(AND(I4&gt;0,M4&gt;0),I4*M4,"")</f>
        <v>132.82499999999999</v>
      </c>
      <c r="O4" s="10">
        <f t="shared" ref="O4:O35" si="4">IF(AND(N4&gt;0,L4&gt;0),N4*L4,"")</f>
        <v>4.3832249999999995</v>
      </c>
      <c r="P4" s="10">
        <f t="shared" ref="P4:P35" si="5">IF(AND(N4&gt;0,O4&gt;0),N4-O4,"")</f>
        <v>128.44177499999998</v>
      </c>
      <c r="Q4" s="23">
        <f>IF(AND(P4&gt;0,Inputs!$C$6&gt;0),P4/Inputs!$C$6*Inputs!$C$7,"")</f>
        <v>3023.9218343949997</v>
      </c>
      <c r="R4" s="23">
        <f>IF(C4="BC",'Rate Model'!$C$19,IF(C4="DBM",'Rate Model'!$E$19,""))</f>
        <v>2606.5147354497349</v>
      </c>
      <c r="S4" s="11">
        <f t="shared" ref="S4:S35" si="6">IF(AND(N4&gt;0,R4&gt;0),N4*R4,"")</f>
        <v>346210.31973611098</v>
      </c>
      <c r="T4" s="11">
        <f>IF(A4&lt;&gt;"",Inputs!$C$47,"")</f>
        <v>77</v>
      </c>
      <c r="U4" s="11">
        <f>IF(A4&lt;&gt;"",Inputs!$C$48,"")</f>
        <v>95</v>
      </c>
      <c r="V4" s="11">
        <v>2</v>
      </c>
      <c r="W4" s="11">
        <f>IF(A4&lt;&gt;"",Inputs!$C$49,"")</f>
        <v>32</v>
      </c>
      <c r="X4" s="23">
        <v>0</v>
      </c>
      <c r="Y4" s="23">
        <f t="shared" ref="Y4:Y35" si="7">IF(AND(T4&gt;0,U4&gt;0,V4&gt;0,W4&gt;0),((T4*U4*V4)+X4)/W4,"")</f>
        <v>457.1875</v>
      </c>
      <c r="Z4" s="23">
        <f t="shared" ref="Z4:Z35" si="8">IF(AND(N4&gt;0,Y4&gt;0),N4*Y4,"")</f>
        <v>60725.929687499993</v>
      </c>
      <c r="AA4" s="24">
        <f>IF(A4&lt;&gt;"",Inputs!$C$57,"")</f>
        <v>0.7</v>
      </c>
      <c r="AB4" s="6">
        <f t="shared" ref="AB4:AB35" si="9">IF(AND(N4&gt;0,AA4&gt;0),N4*AA4,"")</f>
        <v>92.977499999999992</v>
      </c>
      <c r="AC4" s="6">
        <v>1</v>
      </c>
      <c r="AD4" s="23">
        <v>0</v>
      </c>
      <c r="AE4" s="23">
        <f>IF(AND(J4&gt;0,AC4&gt;0),J4*AC4*Inputs!$C$71,0)</f>
        <v>36613.5</v>
      </c>
      <c r="AF4" s="23">
        <f>IF(AND(J4&gt;0,AD4&gt;0),J4*AD4*Inputs!$C$72,0)</f>
        <v>0</v>
      </c>
      <c r="AG4" s="23">
        <f t="shared" ref="AG4:AG35" si="10">SUM(S4,Z4,AB4,AE4,AF4)</f>
        <v>443642.72692361096</v>
      </c>
      <c r="AH4" s="23">
        <f t="shared" ref="AH4:AH35" si="11">IF(AND(N4&gt;0,AG4&gt;0),AG4/N4,"")</f>
        <v>3340.0544093627782</v>
      </c>
      <c r="AI4" s="23">
        <f t="shared" ref="AI4:AI35" si="12">IF(AND(I4&gt;0,AG4&gt;0),AG4/I4,"")</f>
        <v>7682.1251415343886</v>
      </c>
      <c r="AJ4" s="23">
        <f t="shared" ref="AJ4:AJ35" si="13">IF(AND(J4&gt;0,AG4&gt;0),AG4/J4,"")</f>
        <v>384.10625707671943</v>
      </c>
    </row>
    <row r="5" spans="1:36" x14ac:dyDescent="0.2">
      <c r="A5" s="6" t="s">
        <v>215</v>
      </c>
      <c r="B5" s="6" t="s">
        <v>212</v>
      </c>
      <c r="C5" s="6" t="s">
        <v>216</v>
      </c>
      <c r="D5" s="6" t="s">
        <v>214</v>
      </c>
      <c r="E5" s="11">
        <v>1100</v>
      </c>
      <c r="F5" s="11">
        <v>5.5</v>
      </c>
      <c r="G5" s="11">
        <v>30</v>
      </c>
      <c r="H5" s="11"/>
      <c r="I5" s="10">
        <f t="shared" si="0"/>
        <v>181.5</v>
      </c>
      <c r="J5" s="10">
        <f t="shared" si="1"/>
        <v>6050</v>
      </c>
      <c r="K5" s="14">
        <f t="shared" si="2"/>
        <v>1100</v>
      </c>
      <c r="L5" s="10">
        <f>IF(C5="BC",'Mix Design'!$B$9,IF(C5="DBM",'Mix Design'!$C$9,""))</f>
        <v>5.3999999999999999E-2</v>
      </c>
      <c r="M5" s="10">
        <f>IF(C5="BC",Inputs!$C$17,IF(C5="DBM",Inputs!$C$18,""))</f>
        <v>2.35</v>
      </c>
      <c r="N5" s="10">
        <f t="shared" si="3"/>
        <v>426.52500000000003</v>
      </c>
      <c r="O5" s="10">
        <f t="shared" si="4"/>
        <v>23.032350000000001</v>
      </c>
      <c r="P5" s="10">
        <f t="shared" si="5"/>
        <v>403.49265000000003</v>
      </c>
      <c r="Q5" s="23">
        <f>IF(AND(P5&gt;0,Inputs!$C$6&gt;0),P5/Inputs!$C$6*Inputs!$C$7,"")</f>
        <v>9499.481257970001</v>
      </c>
      <c r="R5" s="23">
        <f>IF(C5="BC",'Rate Model'!$C$19,IF(C5="DBM",'Rate Model'!$E$19,""))</f>
        <v>3667.8247354497348</v>
      </c>
      <c r="S5" s="11">
        <f t="shared" si="6"/>
        <v>1564418.9452876982</v>
      </c>
      <c r="T5" s="11">
        <f>IF(A5&lt;&gt;"",Inputs!$C$47,"")</f>
        <v>77</v>
      </c>
      <c r="U5" s="11">
        <f>IF(A5&lt;&gt;"",Inputs!$C$48,"")</f>
        <v>95</v>
      </c>
      <c r="V5" s="11">
        <v>2</v>
      </c>
      <c r="W5" s="11">
        <f>IF(A5&lt;&gt;"",Inputs!$C$49,"")</f>
        <v>32</v>
      </c>
      <c r="X5" s="23">
        <v>0</v>
      </c>
      <c r="Y5" s="23">
        <f t="shared" si="7"/>
        <v>457.1875</v>
      </c>
      <c r="Z5" s="23">
        <f t="shared" si="8"/>
        <v>195001.89843750003</v>
      </c>
      <c r="AA5" s="24">
        <f>IF(A5&lt;&gt;"",Inputs!$C$57,"")</f>
        <v>0.7</v>
      </c>
      <c r="AB5" s="6">
        <f t="shared" si="9"/>
        <v>298.5675</v>
      </c>
      <c r="AC5" s="6">
        <v>0</v>
      </c>
      <c r="AD5" s="23">
        <v>1</v>
      </c>
      <c r="AE5" s="23">
        <f>IF(AND(J5&gt;0,AC5&gt;0),J5*AC5*Inputs!$C$71,0)</f>
        <v>0</v>
      </c>
      <c r="AF5" s="23">
        <f>IF(AND(J5&gt;0,AD5&gt;0),J5*AD5*Inputs!$C$72,0)</f>
        <v>51086.2</v>
      </c>
      <c r="AG5" s="23">
        <f t="shared" si="10"/>
        <v>1810805.611225198</v>
      </c>
      <c r="AH5" s="23">
        <f t="shared" si="11"/>
        <v>4245.4852850951247</v>
      </c>
      <c r="AI5" s="23">
        <f t="shared" si="12"/>
        <v>9976.8904199735425</v>
      </c>
      <c r="AJ5" s="23">
        <f t="shared" si="13"/>
        <v>299.30671259920626</v>
      </c>
    </row>
    <row r="6" spans="1:36" x14ac:dyDescent="0.2">
      <c r="A6" s="6" t="s">
        <v>217</v>
      </c>
      <c r="B6" s="6" t="s">
        <v>218</v>
      </c>
      <c r="C6" s="6" t="s">
        <v>216</v>
      </c>
      <c r="D6" s="6" t="s">
        <v>219</v>
      </c>
      <c r="E6" s="11"/>
      <c r="F6" s="11">
        <v>5.5</v>
      </c>
      <c r="G6" s="11">
        <v>30</v>
      </c>
      <c r="H6" s="11">
        <v>180</v>
      </c>
      <c r="I6" s="10">
        <f t="shared" si="0"/>
        <v>180</v>
      </c>
      <c r="J6" s="10">
        <f t="shared" si="1"/>
        <v>6000</v>
      </c>
      <c r="K6" s="14">
        <f t="shared" si="2"/>
        <v>1090.909090909091</v>
      </c>
      <c r="L6" s="10">
        <f>IF(C6="BC",'Mix Design'!$B$9,IF(C6="DBM",'Mix Design'!$C$9,""))</f>
        <v>5.3999999999999999E-2</v>
      </c>
      <c r="M6" s="10">
        <f>IF(C6="BC",Inputs!$C$17,IF(C6="DBM",Inputs!$C$18,""))</f>
        <v>2.35</v>
      </c>
      <c r="N6" s="10">
        <f t="shared" si="3"/>
        <v>423</v>
      </c>
      <c r="O6" s="10">
        <f t="shared" si="4"/>
        <v>22.841999999999999</v>
      </c>
      <c r="P6" s="10">
        <f t="shared" si="5"/>
        <v>400.15800000000002</v>
      </c>
      <c r="Q6" s="23">
        <f>IF(AND(P6&gt;0,Inputs!$C$6&gt;0),P6/Inputs!$C$6*Inputs!$C$7,"")</f>
        <v>9420.9731484000004</v>
      </c>
      <c r="R6" s="23">
        <f>IF(C6="BC",'Rate Model'!$C$19,IF(C6="DBM",'Rate Model'!$E$19,""))</f>
        <v>3667.8247354497348</v>
      </c>
      <c r="S6" s="11">
        <f t="shared" si="6"/>
        <v>1551489.8630952379</v>
      </c>
      <c r="T6" s="11">
        <f>IF(A6&lt;&gt;"",Inputs!$C$47,"")</f>
        <v>77</v>
      </c>
      <c r="U6" s="11">
        <f>IF(A6&lt;&gt;"",Inputs!$C$48,"")</f>
        <v>95</v>
      </c>
      <c r="V6" s="11">
        <v>2</v>
      </c>
      <c r="W6" s="11">
        <f>IF(A6&lt;&gt;"",Inputs!$C$49,"")</f>
        <v>32</v>
      </c>
      <c r="X6" s="23">
        <v>0</v>
      </c>
      <c r="Y6" s="23">
        <f t="shared" si="7"/>
        <v>457.1875</v>
      </c>
      <c r="Z6" s="23">
        <f t="shared" si="8"/>
        <v>193390.3125</v>
      </c>
      <c r="AA6" s="24">
        <f>IF(A6&lt;&gt;"",Inputs!$C$57,"")</f>
        <v>0.7</v>
      </c>
      <c r="AB6" s="6">
        <f t="shared" si="9"/>
        <v>296.09999999999997</v>
      </c>
      <c r="AC6" s="6">
        <v>0</v>
      </c>
      <c r="AD6" s="23">
        <v>1</v>
      </c>
      <c r="AE6" s="23">
        <f>IF(AND(J6&gt;0,AC6&gt;0),J6*AC6*Inputs!$C$71,0)</f>
        <v>0</v>
      </c>
      <c r="AF6" s="23">
        <f>IF(AND(J6&gt;0,AD6&gt;0),J6*AD6*Inputs!$C$72,0)</f>
        <v>50663.999999999993</v>
      </c>
      <c r="AG6" s="23">
        <f t="shared" si="10"/>
        <v>1795840.275595238</v>
      </c>
      <c r="AH6" s="23">
        <f t="shared" si="11"/>
        <v>4245.4852850951256</v>
      </c>
      <c r="AI6" s="23">
        <f t="shared" si="12"/>
        <v>9976.8904199735443</v>
      </c>
      <c r="AJ6" s="23">
        <f t="shared" si="13"/>
        <v>299.30671259920632</v>
      </c>
    </row>
    <row r="7" spans="1:36" x14ac:dyDescent="0.2">
      <c r="A7" s="6"/>
      <c r="B7" s="6"/>
      <c r="C7" s="6"/>
      <c r="D7" s="6"/>
      <c r="E7" s="11"/>
      <c r="F7" s="11"/>
      <c r="G7" s="11"/>
      <c r="H7" s="11"/>
      <c r="I7" s="10" t="str">
        <f t="shared" si="0"/>
        <v/>
      </c>
      <c r="J7" s="10" t="str">
        <f t="shared" si="1"/>
        <v/>
      </c>
      <c r="K7" s="14" t="str">
        <f t="shared" si="2"/>
        <v/>
      </c>
      <c r="L7" s="10" t="str">
        <f>IF(C7="BC",'Mix Design'!$B$9,IF(C7="DBM",'Mix Design'!$C$9,""))</f>
        <v/>
      </c>
      <c r="M7" s="10" t="str">
        <f>IF(C7="BC",Inputs!$C$17,IF(C7="DBM",Inputs!$C$18,""))</f>
        <v/>
      </c>
      <c r="N7" s="10" t="e">
        <f t="shared" si="3"/>
        <v>#VALUE!</v>
      </c>
      <c r="O7" s="10" t="e">
        <f t="shared" si="4"/>
        <v>#VALUE!</v>
      </c>
      <c r="P7" s="10" t="e">
        <f t="shared" si="5"/>
        <v>#VALUE!</v>
      </c>
      <c r="Q7" s="23" t="e">
        <f>IF(AND(P7&gt;0,Inputs!$C$6&gt;0),P7/Inputs!$C$6*Inputs!$C$7,"")</f>
        <v>#VALUE!</v>
      </c>
      <c r="R7" s="23" t="str">
        <f>IF(C7="BC",'Rate Model'!$C$19,IF(C7="DBM",'Rate Model'!$E$19,""))</f>
        <v/>
      </c>
      <c r="S7" s="11" t="e">
        <f t="shared" si="6"/>
        <v>#VALUE!</v>
      </c>
      <c r="T7" s="11" t="str">
        <f>IF(A7&lt;&gt;"",Inputs!$C$47,"")</f>
        <v/>
      </c>
      <c r="U7" s="11" t="str">
        <f>IF(A7&lt;&gt;"",Inputs!$C$48,"")</f>
        <v/>
      </c>
      <c r="V7" s="11">
        <v>2</v>
      </c>
      <c r="W7" s="11" t="str">
        <f>IF(A7&lt;&gt;"",Inputs!$C$49,"")</f>
        <v/>
      </c>
      <c r="X7" s="23">
        <v>0</v>
      </c>
      <c r="Y7" s="23" t="e">
        <f t="shared" si="7"/>
        <v>#VALUE!</v>
      </c>
      <c r="Z7" s="23" t="e">
        <f t="shared" si="8"/>
        <v>#VALUE!</v>
      </c>
      <c r="AA7" s="5" t="str">
        <f>IF(A7&lt;&gt;"",Inputs!$C$57,"")</f>
        <v/>
      </c>
      <c r="AB7" s="6" t="e">
        <f t="shared" si="9"/>
        <v>#VALUE!</v>
      </c>
      <c r="AC7" s="6"/>
      <c r="AD7" s="23"/>
      <c r="AE7" s="23">
        <f>IF(AND(J7&gt;0,AC7&gt;0),J7*AC7*Inputs!$C$71,0)</f>
        <v>0</v>
      </c>
      <c r="AF7" s="23">
        <f>IF(AND(J7&gt;0,AD7&gt;0),J7*AD7*Inputs!$C$72,0)</f>
        <v>0</v>
      </c>
      <c r="AG7" s="23" t="e">
        <f t="shared" si="10"/>
        <v>#VALUE!</v>
      </c>
      <c r="AH7" s="23" t="e">
        <f t="shared" si="11"/>
        <v>#VALUE!</v>
      </c>
      <c r="AI7" s="23" t="e">
        <f t="shared" si="12"/>
        <v>#VALUE!</v>
      </c>
      <c r="AJ7" s="23" t="e">
        <f t="shared" si="13"/>
        <v>#VALUE!</v>
      </c>
    </row>
    <row r="8" spans="1:36" x14ac:dyDescent="0.2">
      <c r="A8" s="6"/>
      <c r="B8" s="6"/>
      <c r="C8" s="6"/>
      <c r="D8" s="6"/>
      <c r="E8" s="11"/>
      <c r="F8" s="11"/>
      <c r="G8" s="11"/>
      <c r="H8" s="11"/>
      <c r="I8" s="10" t="str">
        <f t="shared" si="0"/>
        <v/>
      </c>
      <c r="J8" s="10" t="str">
        <f t="shared" si="1"/>
        <v/>
      </c>
      <c r="K8" s="14" t="str">
        <f t="shared" si="2"/>
        <v/>
      </c>
      <c r="L8" s="10" t="str">
        <f>IF(C8="BC",'Mix Design'!$B$9,IF(C8="DBM",'Mix Design'!$C$9,""))</f>
        <v/>
      </c>
      <c r="M8" s="10" t="str">
        <f>IF(C8="BC",Inputs!$C$17,IF(C8="DBM",Inputs!$C$18,""))</f>
        <v/>
      </c>
      <c r="N8" s="10" t="e">
        <f t="shared" si="3"/>
        <v>#VALUE!</v>
      </c>
      <c r="O8" s="10" t="e">
        <f t="shared" si="4"/>
        <v>#VALUE!</v>
      </c>
      <c r="P8" s="10" t="e">
        <f t="shared" si="5"/>
        <v>#VALUE!</v>
      </c>
      <c r="Q8" s="23" t="e">
        <f>IF(AND(P8&gt;0,Inputs!$C$6&gt;0),P8/Inputs!$C$6*Inputs!$C$7,"")</f>
        <v>#VALUE!</v>
      </c>
      <c r="R8" s="23" t="str">
        <f>IF(C8="BC",'Rate Model'!$C$19,IF(C8="DBM",'Rate Model'!$E$19,""))</f>
        <v/>
      </c>
      <c r="S8" s="11" t="e">
        <f t="shared" si="6"/>
        <v>#VALUE!</v>
      </c>
      <c r="T8" s="11" t="str">
        <f>IF(A8&lt;&gt;"",Inputs!$C$47,"")</f>
        <v/>
      </c>
      <c r="U8" s="11" t="str">
        <f>IF(A8&lt;&gt;"",Inputs!$C$48,"")</f>
        <v/>
      </c>
      <c r="V8" s="11">
        <v>2</v>
      </c>
      <c r="W8" s="11" t="str">
        <f>IF(A8&lt;&gt;"",Inputs!$C$49,"")</f>
        <v/>
      </c>
      <c r="X8" s="23">
        <v>0</v>
      </c>
      <c r="Y8" s="23" t="e">
        <f t="shared" si="7"/>
        <v>#VALUE!</v>
      </c>
      <c r="Z8" s="23" t="e">
        <f t="shared" si="8"/>
        <v>#VALUE!</v>
      </c>
      <c r="AA8" s="5" t="str">
        <f>IF(A8&lt;&gt;"",Inputs!$C$57,"")</f>
        <v/>
      </c>
      <c r="AB8" s="6" t="e">
        <f t="shared" si="9"/>
        <v>#VALUE!</v>
      </c>
      <c r="AC8" s="6"/>
      <c r="AD8" s="23"/>
      <c r="AE8" s="23">
        <f>IF(AND(J8&gt;0,AC8&gt;0),J8*AC8*Inputs!$C$71,0)</f>
        <v>0</v>
      </c>
      <c r="AF8" s="23">
        <f>IF(AND(J8&gt;0,AD8&gt;0),J8*AD8*Inputs!$C$72,0)</f>
        <v>0</v>
      </c>
      <c r="AG8" s="23" t="e">
        <f t="shared" si="10"/>
        <v>#VALUE!</v>
      </c>
      <c r="AH8" s="23" t="e">
        <f t="shared" si="11"/>
        <v>#VALUE!</v>
      </c>
      <c r="AI8" s="23" t="e">
        <f t="shared" si="12"/>
        <v>#VALUE!</v>
      </c>
      <c r="AJ8" s="23" t="e">
        <f t="shared" si="13"/>
        <v>#VALUE!</v>
      </c>
    </row>
    <row r="9" spans="1:36" x14ac:dyDescent="0.2">
      <c r="A9" s="6"/>
      <c r="B9" s="6"/>
      <c r="C9" s="6"/>
      <c r="D9" s="6"/>
      <c r="E9" s="11"/>
      <c r="F9" s="11"/>
      <c r="G9" s="11"/>
      <c r="H9" s="11"/>
      <c r="I9" s="10" t="str">
        <f t="shared" si="0"/>
        <v/>
      </c>
      <c r="J9" s="10" t="str">
        <f t="shared" si="1"/>
        <v/>
      </c>
      <c r="K9" s="14" t="str">
        <f t="shared" si="2"/>
        <v/>
      </c>
      <c r="L9" s="10" t="str">
        <f>IF(C9="BC",'Mix Design'!$B$9,IF(C9="DBM",'Mix Design'!$C$9,""))</f>
        <v/>
      </c>
      <c r="M9" s="10" t="str">
        <f>IF(C9="BC",Inputs!$C$17,IF(C9="DBM",Inputs!$C$18,""))</f>
        <v/>
      </c>
      <c r="N9" s="10" t="e">
        <f t="shared" si="3"/>
        <v>#VALUE!</v>
      </c>
      <c r="O9" s="10" t="e">
        <f t="shared" si="4"/>
        <v>#VALUE!</v>
      </c>
      <c r="P9" s="10" t="e">
        <f t="shared" si="5"/>
        <v>#VALUE!</v>
      </c>
      <c r="Q9" s="23" t="e">
        <f>IF(AND(P9&gt;0,Inputs!$C$6&gt;0),P9/Inputs!$C$6*Inputs!$C$7,"")</f>
        <v>#VALUE!</v>
      </c>
      <c r="R9" s="23" t="str">
        <f>IF(C9="BC",'Rate Model'!$C$19,IF(C9="DBM",'Rate Model'!$E$19,""))</f>
        <v/>
      </c>
      <c r="S9" s="11" t="e">
        <f t="shared" si="6"/>
        <v>#VALUE!</v>
      </c>
      <c r="T9" s="11" t="str">
        <f>IF(A9&lt;&gt;"",Inputs!$C$47,"")</f>
        <v/>
      </c>
      <c r="U9" s="11" t="str">
        <f>IF(A9&lt;&gt;"",Inputs!$C$48,"")</f>
        <v/>
      </c>
      <c r="V9" s="11">
        <v>2</v>
      </c>
      <c r="W9" s="11" t="str">
        <f>IF(A9&lt;&gt;"",Inputs!$C$49,"")</f>
        <v/>
      </c>
      <c r="X9" s="23">
        <v>0</v>
      </c>
      <c r="Y9" s="23" t="e">
        <f t="shared" si="7"/>
        <v>#VALUE!</v>
      </c>
      <c r="Z9" s="23" t="e">
        <f t="shared" si="8"/>
        <v>#VALUE!</v>
      </c>
      <c r="AA9" s="5" t="str">
        <f>IF(A9&lt;&gt;"",Inputs!$C$57,"")</f>
        <v/>
      </c>
      <c r="AB9" s="6" t="e">
        <f t="shared" si="9"/>
        <v>#VALUE!</v>
      </c>
      <c r="AC9" s="6"/>
      <c r="AD9" s="23"/>
      <c r="AE9" s="23">
        <f>IF(AND(J9&gt;0,AC9&gt;0),J9*AC9*Inputs!$C$71,0)</f>
        <v>0</v>
      </c>
      <c r="AF9" s="23">
        <f>IF(AND(J9&gt;0,AD9&gt;0),J9*AD9*Inputs!$C$72,0)</f>
        <v>0</v>
      </c>
      <c r="AG9" s="23" t="e">
        <f t="shared" si="10"/>
        <v>#VALUE!</v>
      </c>
      <c r="AH9" s="23" t="e">
        <f t="shared" si="11"/>
        <v>#VALUE!</v>
      </c>
      <c r="AI9" s="23" t="e">
        <f t="shared" si="12"/>
        <v>#VALUE!</v>
      </c>
      <c r="AJ9" s="23" t="e">
        <f t="shared" si="13"/>
        <v>#VALUE!</v>
      </c>
    </row>
    <row r="10" spans="1:36" x14ac:dyDescent="0.2">
      <c r="A10" s="6"/>
      <c r="B10" s="6"/>
      <c r="C10" s="6"/>
      <c r="D10" s="6"/>
      <c r="E10" s="11"/>
      <c r="F10" s="11"/>
      <c r="G10" s="11"/>
      <c r="H10" s="11"/>
      <c r="I10" s="10" t="str">
        <f t="shared" si="0"/>
        <v/>
      </c>
      <c r="J10" s="10" t="str">
        <f t="shared" si="1"/>
        <v/>
      </c>
      <c r="K10" s="14" t="str">
        <f t="shared" si="2"/>
        <v/>
      </c>
      <c r="L10" s="10" t="str">
        <f>IF(C10="BC",'Mix Design'!$B$9,IF(C10="DBM",'Mix Design'!$C$9,""))</f>
        <v/>
      </c>
      <c r="M10" s="10" t="str">
        <f>IF(C10="BC",Inputs!$C$17,IF(C10="DBM",Inputs!$C$18,""))</f>
        <v/>
      </c>
      <c r="N10" s="10" t="e">
        <f t="shared" si="3"/>
        <v>#VALUE!</v>
      </c>
      <c r="O10" s="10" t="e">
        <f t="shared" si="4"/>
        <v>#VALUE!</v>
      </c>
      <c r="P10" s="10" t="e">
        <f t="shared" si="5"/>
        <v>#VALUE!</v>
      </c>
      <c r="Q10" s="23" t="e">
        <f>IF(AND(P10&gt;0,Inputs!$C$6&gt;0),P10/Inputs!$C$6*Inputs!$C$7,"")</f>
        <v>#VALUE!</v>
      </c>
      <c r="R10" s="23" t="str">
        <f>IF(C10="BC",'Rate Model'!$C$19,IF(C10="DBM",'Rate Model'!$E$19,""))</f>
        <v/>
      </c>
      <c r="S10" s="11" t="e">
        <f t="shared" si="6"/>
        <v>#VALUE!</v>
      </c>
      <c r="T10" s="11" t="str">
        <f>IF(A10&lt;&gt;"",Inputs!$C$47,"")</f>
        <v/>
      </c>
      <c r="U10" s="11" t="str">
        <f>IF(A10&lt;&gt;"",Inputs!$C$48,"")</f>
        <v/>
      </c>
      <c r="V10" s="11">
        <v>2</v>
      </c>
      <c r="W10" s="11" t="str">
        <f>IF(A10&lt;&gt;"",Inputs!$C$49,"")</f>
        <v/>
      </c>
      <c r="X10" s="23">
        <v>0</v>
      </c>
      <c r="Y10" s="23" t="e">
        <f t="shared" si="7"/>
        <v>#VALUE!</v>
      </c>
      <c r="Z10" s="23" t="e">
        <f t="shared" si="8"/>
        <v>#VALUE!</v>
      </c>
      <c r="AA10" s="5" t="str">
        <f>IF(A10&lt;&gt;"",Inputs!$C$57,"")</f>
        <v/>
      </c>
      <c r="AB10" s="6" t="e">
        <f t="shared" si="9"/>
        <v>#VALUE!</v>
      </c>
      <c r="AC10" s="6"/>
      <c r="AD10" s="23"/>
      <c r="AE10" s="23">
        <f>IF(AND(J10&gt;0,AC10&gt;0),J10*AC10*Inputs!$C$71,0)</f>
        <v>0</v>
      </c>
      <c r="AF10" s="23">
        <f>IF(AND(J10&gt;0,AD10&gt;0),J10*AD10*Inputs!$C$72,0)</f>
        <v>0</v>
      </c>
      <c r="AG10" s="23" t="e">
        <f t="shared" si="10"/>
        <v>#VALUE!</v>
      </c>
      <c r="AH10" s="23" t="e">
        <f t="shared" si="11"/>
        <v>#VALUE!</v>
      </c>
      <c r="AI10" s="23" t="e">
        <f t="shared" si="12"/>
        <v>#VALUE!</v>
      </c>
      <c r="AJ10" s="23" t="e">
        <f t="shared" si="13"/>
        <v>#VALUE!</v>
      </c>
    </row>
    <row r="11" spans="1:36" x14ac:dyDescent="0.2">
      <c r="A11" s="6"/>
      <c r="B11" s="6"/>
      <c r="C11" s="6"/>
      <c r="D11" s="6"/>
      <c r="E11" s="11"/>
      <c r="F11" s="11"/>
      <c r="G11" s="11"/>
      <c r="H11" s="11"/>
      <c r="I11" s="10" t="str">
        <f t="shared" si="0"/>
        <v/>
      </c>
      <c r="J11" s="10" t="str">
        <f t="shared" si="1"/>
        <v/>
      </c>
      <c r="K11" s="14" t="str">
        <f t="shared" si="2"/>
        <v/>
      </c>
      <c r="L11" s="10" t="str">
        <f>IF(C11="BC",'Mix Design'!$B$9,IF(C11="DBM",'Mix Design'!$C$9,""))</f>
        <v/>
      </c>
      <c r="M11" s="10" t="str">
        <f>IF(C11="BC",Inputs!$C$17,IF(C11="DBM",Inputs!$C$18,""))</f>
        <v/>
      </c>
      <c r="N11" s="10" t="e">
        <f t="shared" si="3"/>
        <v>#VALUE!</v>
      </c>
      <c r="O11" s="10" t="e">
        <f t="shared" si="4"/>
        <v>#VALUE!</v>
      </c>
      <c r="P11" s="10" t="e">
        <f t="shared" si="5"/>
        <v>#VALUE!</v>
      </c>
      <c r="Q11" s="23" t="e">
        <f>IF(AND(P11&gt;0,Inputs!$C$6&gt;0),P11/Inputs!$C$6*Inputs!$C$7,"")</f>
        <v>#VALUE!</v>
      </c>
      <c r="R11" s="23" t="str">
        <f>IF(C11="BC",'Rate Model'!$C$19,IF(C11="DBM",'Rate Model'!$E$19,""))</f>
        <v/>
      </c>
      <c r="S11" s="11" t="e">
        <f t="shared" si="6"/>
        <v>#VALUE!</v>
      </c>
      <c r="T11" s="11" t="str">
        <f>IF(A11&lt;&gt;"",Inputs!$C$47,"")</f>
        <v/>
      </c>
      <c r="U11" s="11" t="str">
        <f>IF(A11&lt;&gt;"",Inputs!$C$48,"")</f>
        <v/>
      </c>
      <c r="V11" s="11">
        <v>2</v>
      </c>
      <c r="W11" s="11" t="str">
        <f>IF(A11&lt;&gt;"",Inputs!$C$49,"")</f>
        <v/>
      </c>
      <c r="X11" s="23">
        <v>0</v>
      </c>
      <c r="Y11" s="23" t="e">
        <f t="shared" si="7"/>
        <v>#VALUE!</v>
      </c>
      <c r="Z11" s="23" t="e">
        <f t="shared" si="8"/>
        <v>#VALUE!</v>
      </c>
      <c r="AA11" s="5" t="str">
        <f>IF(A11&lt;&gt;"",Inputs!$C$57,"")</f>
        <v/>
      </c>
      <c r="AB11" s="6" t="e">
        <f t="shared" si="9"/>
        <v>#VALUE!</v>
      </c>
      <c r="AC11" s="6"/>
      <c r="AD11" s="23"/>
      <c r="AE11" s="23">
        <f>IF(AND(J11&gt;0,AC11&gt;0),J11*AC11*Inputs!$C$71,0)</f>
        <v>0</v>
      </c>
      <c r="AF11" s="23">
        <f>IF(AND(J11&gt;0,AD11&gt;0),J11*AD11*Inputs!$C$72,0)</f>
        <v>0</v>
      </c>
      <c r="AG11" s="23" t="e">
        <f t="shared" si="10"/>
        <v>#VALUE!</v>
      </c>
      <c r="AH11" s="23" t="e">
        <f t="shared" si="11"/>
        <v>#VALUE!</v>
      </c>
      <c r="AI11" s="23" t="e">
        <f t="shared" si="12"/>
        <v>#VALUE!</v>
      </c>
      <c r="AJ11" s="23" t="e">
        <f t="shared" si="13"/>
        <v>#VALUE!</v>
      </c>
    </row>
    <row r="12" spans="1:36" x14ac:dyDescent="0.2">
      <c r="A12" s="6"/>
      <c r="B12" s="6"/>
      <c r="C12" s="6"/>
      <c r="D12" s="6"/>
      <c r="E12" s="11"/>
      <c r="F12" s="11"/>
      <c r="G12" s="11"/>
      <c r="H12" s="11"/>
      <c r="I12" s="10" t="str">
        <f t="shared" si="0"/>
        <v/>
      </c>
      <c r="J12" s="10" t="str">
        <f t="shared" si="1"/>
        <v/>
      </c>
      <c r="K12" s="14" t="str">
        <f t="shared" si="2"/>
        <v/>
      </c>
      <c r="L12" s="10" t="str">
        <f>IF(C12="BC",'Mix Design'!$B$9,IF(C12="DBM",'Mix Design'!$C$9,""))</f>
        <v/>
      </c>
      <c r="M12" s="10" t="str">
        <f>IF(C12="BC",Inputs!$C$17,IF(C12="DBM",Inputs!$C$18,""))</f>
        <v/>
      </c>
      <c r="N12" s="10" t="e">
        <f t="shared" si="3"/>
        <v>#VALUE!</v>
      </c>
      <c r="O12" s="10" t="e">
        <f t="shared" si="4"/>
        <v>#VALUE!</v>
      </c>
      <c r="P12" s="10" t="e">
        <f t="shared" si="5"/>
        <v>#VALUE!</v>
      </c>
      <c r="Q12" s="23" t="e">
        <f>IF(AND(P12&gt;0,Inputs!$C$6&gt;0),P12/Inputs!$C$6*Inputs!$C$7,"")</f>
        <v>#VALUE!</v>
      </c>
      <c r="R12" s="23" t="str">
        <f>IF(C12="BC",'Rate Model'!$C$19,IF(C12="DBM",'Rate Model'!$E$19,""))</f>
        <v/>
      </c>
      <c r="S12" s="11" t="e">
        <f t="shared" si="6"/>
        <v>#VALUE!</v>
      </c>
      <c r="T12" s="11" t="str">
        <f>IF(A12&lt;&gt;"",Inputs!$C$47,"")</f>
        <v/>
      </c>
      <c r="U12" s="11" t="str">
        <f>IF(A12&lt;&gt;"",Inputs!$C$48,"")</f>
        <v/>
      </c>
      <c r="V12" s="11">
        <v>2</v>
      </c>
      <c r="W12" s="11" t="str">
        <f>IF(A12&lt;&gt;"",Inputs!$C$49,"")</f>
        <v/>
      </c>
      <c r="X12" s="23">
        <v>0</v>
      </c>
      <c r="Y12" s="23" t="e">
        <f t="shared" si="7"/>
        <v>#VALUE!</v>
      </c>
      <c r="Z12" s="23" t="e">
        <f t="shared" si="8"/>
        <v>#VALUE!</v>
      </c>
      <c r="AA12" s="5" t="str">
        <f>IF(A12&lt;&gt;"",Inputs!$C$57,"")</f>
        <v/>
      </c>
      <c r="AB12" s="6" t="e">
        <f t="shared" si="9"/>
        <v>#VALUE!</v>
      </c>
      <c r="AC12" s="6"/>
      <c r="AD12" s="23"/>
      <c r="AE12" s="23">
        <f>IF(AND(J12&gt;0,AC12&gt;0),J12*AC12*Inputs!$C$71,0)</f>
        <v>0</v>
      </c>
      <c r="AF12" s="23">
        <f>IF(AND(J12&gt;0,AD12&gt;0),J12*AD12*Inputs!$C$72,0)</f>
        <v>0</v>
      </c>
      <c r="AG12" s="23" t="e">
        <f t="shared" si="10"/>
        <v>#VALUE!</v>
      </c>
      <c r="AH12" s="23" t="e">
        <f t="shared" si="11"/>
        <v>#VALUE!</v>
      </c>
      <c r="AI12" s="23" t="e">
        <f t="shared" si="12"/>
        <v>#VALUE!</v>
      </c>
      <c r="AJ12" s="23" t="e">
        <f t="shared" si="13"/>
        <v>#VALUE!</v>
      </c>
    </row>
    <row r="13" spans="1:36" x14ac:dyDescent="0.2">
      <c r="A13" s="6"/>
      <c r="B13" s="6"/>
      <c r="C13" s="6"/>
      <c r="D13" s="6"/>
      <c r="E13" s="11"/>
      <c r="F13" s="11"/>
      <c r="G13" s="11"/>
      <c r="H13" s="11"/>
      <c r="I13" s="10" t="str">
        <f t="shared" si="0"/>
        <v/>
      </c>
      <c r="J13" s="10" t="str">
        <f t="shared" si="1"/>
        <v/>
      </c>
      <c r="K13" s="14" t="str">
        <f t="shared" si="2"/>
        <v/>
      </c>
      <c r="L13" s="10" t="str">
        <f>IF(C13="BC",'Mix Design'!$B$9,IF(C13="DBM",'Mix Design'!$C$9,""))</f>
        <v/>
      </c>
      <c r="M13" s="10" t="str">
        <f>IF(C13="BC",Inputs!$C$17,IF(C13="DBM",Inputs!$C$18,""))</f>
        <v/>
      </c>
      <c r="N13" s="10" t="e">
        <f t="shared" si="3"/>
        <v>#VALUE!</v>
      </c>
      <c r="O13" s="10" t="e">
        <f t="shared" si="4"/>
        <v>#VALUE!</v>
      </c>
      <c r="P13" s="10" t="e">
        <f t="shared" si="5"/>
        <v>#VALUE!</v>
      </c>
      <c r="Q13" s="23" t="e">
        <f>IF(AND(P13&gt;0,Inputs!$C$6&gt;0),P13/Inputs!$C$6*Inputs!$C$7,"")</f>
        <v>#VALUE!</v>
      </c>
      <c r="R13" s="23" t="str">
        <f>IF(C13="BC",'Rate Model'!$C$19,IF(C13="DBM",'Rate Model'!$E$19,""))</f>
        <v/>
      </c>
      <c r="S13" s="11" t="e">
        <f t="shared" si="6"/>
        <v>#VALUE!</v>
      </c>
      <c r="T13" s="11" t="str">
        <f>IF(A13&lt;&gt;"",Inputs!$C$47,"")</f>
        <v/>
      </c>
      <c r="U13" s="11" t="str">
        <f>IF(A13&lt;&gt;"",Inputs!$C$48,"")</f>
        <v/>
      </c>
      <c r="V13" s="11">
        <v>2</v>
      </c>
      <c r="W13" s="11" t="str">
        <f>IF(A13&lt;&gt;"",Inputs!$C$49,"")</f>
        <v/>
      </c>
      <c r="X13" s="23">
        <v>0</v>
      </c>
      <c r="Y13" s="23" t="e">
        <f t="shared" si="7"/>
        <v>#VALUE!</v>
      </c>
      <c r="Z13" s="23" t="e">
        <f t="shared" si="8"/>
        <v>#VALUE!</v>
      </c>
      <c r="AA13" s="5" t="str">
        <f>IF(A13&lt;&gt;"",Inputs!$C$57,"")</f>
        <v/>
      </c>
      <c r="AB13" s="6" t="e">
        <f t="shared" si="9"/>
        <v>#VALUE!</v>
      </c>
      <c r="AC13" s="6"/>
      <c r="AD13" s="23"/>
      <c r="AE13" s="23">
        <f>IF(AND(J13&gt;0,AC13&gt;0),J13*AC13*Inputs!$C$71,0)</f>
        <v>0</v>
      </c>
      <c r="AF13" s="23">
        <f>IF(AND(J13&gt;0,AD13&gt;0),J13*AD13*Inputs!$C$72,0)</f>
        <v>0</v>
      </c>
      <c r="AG13" s="23" t="e">
        <f t="shared" si="10"/>
        <v>#VALUE!</v>
      </c>
      <c r="AH13" s="23" t="e">
        <f t="shared" si="11"/>
        <v>#VALUE!</v>
      </c>
      <c r="AI13" s="23" t="e">
        <f t="shared" si="12"/>
        <v>#VALUE!</v>
      </c>
      <c r="AJ13" s="23" t="e">
        <f t="shared" si="13"/>
        <v>#VALUE!</v>
      </c>
    </row>
    <row r="14" spans="1:36" x14ac:dyDescent="0.2">
      <c r="A14" s="6"/>
      <c r="B14" s="6"/>
      <c r="C14" s="6"/>
      <c r="D14" s="6"/>
      <c r="E14" s="11"/>
      <c r="F14" s="11"/>
      <c r="G14" s="11"/>
      <c r="H14" s="11"/>
      <c r="I14" s="10" t="str">
        <f t="shared" si="0"/>
        <v/>
      </c>
      <c r="J14" s="10" t="str">
        <f t="shared" si="1"/>
        <v/>
      </c>
      <c r="K14" s="14" t="str">
        <f t="shared" si="2"/>
        <v/>
      </c>
      <c r="L14" s="10" t="str">
        <f>IF(C14="BC",'Mix Design'!$B$9,IF(C14="DBM",'Mix Design'!$C$9,""))</f>
        <v/>
      </c>
      <c r="M14" s="10" t="str">
        <f>IF(C14="BC",Inputs!$C$17,IF(C14="DBM",Inputs!$C$18,""))</f>
        <v/>
      </c>
      <c r="N14" s="10" t="e">
        <f t="shared" si="3"/>
        <v>#VALUE!</v>
      </c>
      <c r="O14" s="10" t="e">
        <f t="shared" si="4"/>
        <v>#VALUE!</v>
      </c>
      <c r="P14" s="10" t="e">
        <f t="shared" si="5"/>
        <v>#VALUE!</v>
      </c>
      <c r="Q14" s="23" t="e">
        <f>IF(AND(P14&gt;0,Inputs!$C$6&gt;0),P14/Inputs!$C$6*Inputs!$C$7,"")</f>
        <v>#VALUE!</v>
      </c>
      <c r="R14" s="23" t="str">
        <f>IF(C14="BC",'Rate Model'!$C$19,IF(C14="DBM",'Rate Model'!$E$19,""))</f>
        <v/>
      </c>
      <c r="S14" s="11" t="e">
        <f t="shared" si="6"/>
        <v>#VALUE!</v>
      </c>
      <c r="T14" s="11" t="str">
        <f>IF(A14&lt;&gt;"",Inputs!$C$47,"")</f>
        <v/>
      </c>
      <c r="U14" s="11" t="str">
        <f>IF(A14&lt;&gt;"",Inputs!$C$48,"")</f>
        <v/>
      </c>
      <c r="V14" s="11">
        <v>2</v>
      </c>
      <c r="W14" s="11" t="str">
        <f>IF(A14&lt;&gt;"",Inputs!$C$49,"")</f>
        <v/>
      </c>
      <c r="X14" s="23">
        <v>0</v>
      </c>
      <c r="Y14" s="23" t="e">
        <f t="shared" si="7"/>
        <v>#VALUE!</v>
      </c>
      <c r="Z14" s="23" t="e">
        <f t="shared" si="8"/>
        <v>#VALUE!</v>
      </c>
      <c r="AA14" s="5" t="str">
        <f>IF(A14&lt;&gt;"",Inputs!$C$57,"")</f>
        <v/>
      </c>
      <c r="AB14" s="6" t="e">
        <f t="shared" si="9"/>
        <v>#VALUE!</v>
      </c>
      <c r="AC14" s="6"/>
      <c r="AD14" s="23"/>
      <c r="AE14" s="23">
        <f>IF(AND(J14&gt;0,AC14&gt;0),J14*AC14*Inputs!$C$71,0)</f>
        <v>0</v>
      </c>
      <c r="AF14" s="23">
        <f>IF(AND(J14&gt;0,AD14&gt;0),J14*AD14*Inputs!$C$72,0)</f>
        <v>0</v>
      </c>
      <c r="AG14" s="23" t="e">
        <f t="shared" si="10"/>
        <v>#VALUE!</v>
      </c>
      <c r="AH14" s="23" t="e">
        <f t="shared" si="11"/>
        <v>#VALUE!</v>
      </c>
      <c r="AI14" s="23" t="e">
        <f t="shared" si="12"/>
        <v>#VALUE!</v>
      </c>
      <c r="AJ14" s="23" t="e">
        <f t="shared" si="13"/>
        <v>#VALUE!</v>
      </c>
    </row>
    <row r="15" spans="1:36" x14ac:dyDescent="0.2">
      <c r="A15" s="6"/>
      <c r="B15" s="6"/>
      <c r="C15" s="6"/>
      <c r="D15" s="6"/>
      <c r="E15" s="11"/>
      <c r="F15" s="11"/>
      <c r="G15" s="11"/>
      <c r="H15" s="11"/>
      <c r="I15" s="10" t="str">
        <f t="shared" si="0"/>
        <v/>
      </c>
      <c r="J15" s="10" t="str">
        <f t="shared" si="1"/>
        <v/>
      </c>
      <c r="K15" s="14" t="str">
        <f t="shared" si="2"/>
        <v/>
      </c>
      <c r="L15" s="10" t="str">
        <f>IF(C15="BC",'Mix Design'!$B$9,IF(C15="DBM",'Mix Design'!$C$9,""))</f>
        <v/>
      </c>
      <c r="M15" s="10" t="str">
        <f>IF(C15="BC",Inputs!$C$17,IF(C15="DBM",Inputs!$C$18,""))</f>
        <v/>
      </c>
      <c r="N15" s="10" t="e">
        <f t="shared" si="3"/>
        <v>#VALUE!</v>
      </c>
      <c r="O15" s="10" t="e">
        <f t="shared" si="4"/>
        <v>#VALUE!</v>
      </c>
      <c r="P15" s="10" t="e">
        <f t="shared" si="5"/>
        <v>#VALUE!</v>
      </c>
      <c r="Q15" s="23" t="e">
        <f>IF(AND(P15&gt;0,Inputs!$C$6&gt;0),P15/Inputs!$C$6*Inputs!$C$7,"")</f>
        <v>#VALUE!</v>
      </c>
      <c r="R15" s="23" t="str">
        <f>IF(C15="BC",'Rate Model'!$C$19,IF(C15="DBM",'Rate Model'!$E$19,""))</f>
        <v/>
      </c>
      <c r="S15" s="11" t="e">
        <f t="shared" si="6"/>
        <v>#VALUE!</v>
      </c>
      <c r="T15" s="11" t="str">
        <f>IF(A15&lt;&gt;"",Inputs!$C$47,"")</f>
        <v/>
      </c>
      <c r="U15" s="11" t="str">
        <f>IF(A15&lt;&gt;"",Inputs!$C$48,"")</f>
        <v/>
      </c>
      <c r="V15" s="11">
        <v>2</v>
      </c>
      <c r="W15" s="11" t="str">
        <f>IF(A15&lt;&gt;"",Inputs!$C$49,"")</f>
        <v/>
      </c>
      <c r="X15" s="23">
        <v>0</v>
      </c>
      <c r="Y15" s="23" t="e">
        <f t="shared" si="7"/>
        <v>#VALUE!</v>
      </c>
      <c r="Z15" s="23" t="e">
        <f t="shared" si="8"/>
        <v>#VALUE!</v>
      </c>
      <c r="AA15" s="5" t="str">
        <f>IF(A15&lt;&gt;"",Inputs!$C$57,"")</f>
        <v/>
      </c>
      <c r="AB15" s="6" t="e">
        <f t="shared" si="9"/>
        <v>#VALUE!</v>
      </c>
      <c r="AC15" s="6"/>
      <c r="AD15" s="23"/>
      <c r="AE15" s="23">
        <f>IF(AND(J15&gt;0,AC15&gt;0),J15*AC15*Inputs!$C$71,0)</f>
        <v>0</v>
      </c>
      <c r="AF15" s="23">
        <f>IF(AND(J15&gt;0,AD15&gt;0),J15*AD15*Inputs!$C$72,0)</f>
        <v>0</v>
      </c>
      <c r="AG15" s="23" t="e">
        <f t="shared" si="10"/>
        <v>#VALUE!</v>
      </c>
      <c r="AH15" s="23" t="e">
        <f t="shared" si="11"/>
        <v>#VALUE!</v>
      </c>
      <c r="AI15" s="23" t="e">
        <f t="shared" si="12"/>
        <v>#VALUE!</v>
      </c>
      <c r="AJ15" s="23" t="e">
        <f t="shared" si="13"/>
        <v>#VALUE!</v>
      </c>
    </row>
    <row r="16" spans="1:36" x14ac:dyDescent="0.2">
      <c r="A16" s="6"/>
      <c r="B16" s="6"/>
      <c r="C16" s="6"/>
      <c r="D16" s="6"/>
      <c r="E16" s="11"/>
      <c r="F16" s="11"/>
      <c r="G16" s="11"/>
      <c r="H16" s="11"/>
      <c r="I16" s="10" t="str">
        <f t="shared" si="0"/>
        <v/>
      </c>
      <c r="J16" s="10" t="str">
        <f t="shared" si="1"/>
        <v/>
      </c>
      <c r="K16" s="14" t="str">
        <f t="shared" si="2"/>
        <v/>
      </c>
      <c r="L16" s="10" t="str">
        <f>IF(C16="BC",'Mix Design'!$B$9,IF(C16="DBM",'Mix Design'!$C$9,""))</f>
        <v/>
      </c>
      <c r="M16" s="10" t="str">
        <f>IF(C16="BC",Inputs!$C$17,IF(C16="DBM",Inputs!$C$18,""))</f>
        <v/>
      </c>
      <c r="N16" s="10" t="e">
        <f t="shared" si="3"/>
        <v>#VALUE!</v>
      </c>
      <c r="O16" s="10" t="e">
        <f t="shared" si="4"/>
        <v>#VALUE!</v>
      </c>
      <c r="P16" s="10" t="e">
        <f t="shared" si="5"/>
        <v>#VALUE!</v>
      </c>
      <c r="Q16" s="23" t="e">
        <f>IF(AND(P16&gt;0,Inputs!$C$6&gt;0),P16/Inputs!$C$6*Inputs!$C$7,"")</f>
        <v>#VALUE!</v>
      </c>
      <c r="R16" s="23" t="str">
        <f>IF(C16="BC",'Rate Model'!$C$19,IF(C16="DBM",'Rate Model'!$E$19,""))</f>
        <v/>
      </c>
      <c r="S16" s="11" t="e">
        <f t="shared" si="6"/>
        <v>#VALUE!</v>
      </c>
      <c r="T16" s="11" t="str">
        <f>IF(A16&lt;&gt;"",Inputs!$C$47,"")</f>
        <v/>
      </c>
      <c r="U16" s="11" t="str">
        <f>IF(A16&lt;&gt;"",Inputs!$C$48,"")</f>
        <v/>
      </c>
      <c r="V16" s="11">
        <v>2</v>
      </c>
      <c r="W16" s="11" t="str">
        <f>IF(A16&lt;&gt;"",Inputs!$C$49,"")</f>
        <v/>
      </c>
      <c r="X16" s="23">
        <v>0</v>
      </c>
      <c r="Y16" s="23" t="e">
        <f t="shared" si="7"/>
        <v>#VALUE!</v>
      </c>
      <c r="Z16" s="23" t="e">
        <f t="shared" si="8"/>
        <v>#VALUE!</v>
      </c>
      <c r="AA16" s="5" t="str">
        <f>IF(A16&lt;&gt;"",Inputs!$C$57,"")</f>
        <v/>
      </c>
      <c r="AB16" s="6" t="e">
        <f t="shared" si="9"/>
        <v>#VALUE!</v>
      </c>
      <c r="AC16" s="6"/>
      <c r="AD16" s="23"/>
      <c r="AE16" s="23">
        <f>IF(AND(J16&gt;0,AC16&gt;0),J16*AC16*Inputs!$C$71,0)</f>
        <v>0</v>
      </c>
      <c r="AF16" s="23">
        <f>IF(AND(J16&gt;0,AD16&gt;0),J16*AD16*Inputs!$C$72,0)</f>
        <v>0</v>
      </c>
      <c r="AG16" s="23" t="e">
        <f t="shared" si="10"/>
        <v>#VALUE!</v>
      </c>
      <c r="AH16" s="23" t="e">
        <f t="shared" si="11"/>
        <v>#VALUE!</v>
      </c>
      <c r="AI16" s="23" t="e">
        <f t="shared" si="12"/>
        <v>#VALUE!</v>
      </c>
      <c r="AJ16" s="23" t="e">
        <f t="shared" si="13"/>
        <v>#VALUE!</v>
      </c>
    </row>
    <row r="17" spans="1:36" x14ac:dyDescent="0.2">
      <c r="A17" s="6"/>
      <c r="B17" s="6"/>
      <c r="C17" s="6"/>
      <c r="D17" s="6"/>
      <c r="E17" s="11"/>
      <c r="F17" s="11"/>
      <c r="G17" s="11"/>
      <c r="H17" s="11"/>
      <c r="I17" s="10" t="str">
        <f t="shared" si="0"/>
        <v/>
      </c>
      <c r="J17" s="10" t="str">
        <f t="shared" si="1"/>
        <v/>
      </c>
      <c r="K17" s="14" t="str">
        <f t="shared" si="2"/>
        <v/>
      </c>
      <c r="L17" s="10" t="str">
        <f>IF(C17="BC",'Mix Design'!$B$9,IF(C17="DBM",'Mix Design'!$C$9,""))</f>
        <v/>
      </c>
      <c r="M17" s="10" t="str">
        <f>IF(C17="BC",Inputs!$C$17,IF(C17="DBM",Inputs!$C$18,""))</f>
        <v/>
      </c>
      <c r="N17" s="10" t="e">
        <f t="shared" si="3"/>
        <v>#VALUE!</v>
      </c>
      <c r="O17" s="10" t="e">
        <f t="shared" si="4"/>
        <v>#VALUE!</v>
      </c>
      <c r="P17" s="10" t="e">
        <f t="shared" si="5"/>
        <v>#VALUE!</v>
      </c>
      <c r="Q17" s="23" t="e">
        <f>IF(AND(P17&gt;0,Inputs!$C$6&gt;0),P17/Inputs!$C$6*Inputs!$C$7,"")</f>
        <v>#VALUE!</v>
      </c>
      <c r="R17" s="23" t="str">
        <f>IF(C17="BC",'Rate Model'!$C$19,IF(C17="DBM",'Rate Model'!$E$19,""))</f>
        <v/>
      </c>
      <c r="S17" s="11" t="e">
        <f t="shared" si="6"/>
        <v>#VALUE!</v>
      </c>
      <c r="T17" s="11" t="str">
        <f>IF(A17&lt;&gt;"",Inputs!$C$47,"")</f>
        <v/>
      </c>
      <c r="U17" s="11" t="str">
        <f>IF(A17&lt;&gt;"",Inputs!$C$48,"")</f>
        <v/>
      </c>
      <c r="V17" s="11">
        <v>2</v>
      </c>
      <c r="W17" s="11" t="str">
        <f>IF(A17&lt;&gt;"",Inputs!$C$49,"")</f>
        <v/>
      </c>
      <c r="X17" s="23">
        <v>0</v>
      </c>
      <c r="Y17" s="23" t="e">
        <f t="shared" si="7"/>
        <v>#VALUE!</v>
      </c>
      <c r="Z17" s="23" t="e">
        <f t="shared" si="8"/>
        <v>#VALUE!</v>
      </c>
      <c r="AA17" s="5" t="str">
        <f>IF(A17&lt;&gt;"",Inputs!$C$57,"")</f>
        <v/>
      </c>
      <c r="AB17" s="6" t="e">
        <f t="shared" si="9"/>
        <v>#VALUE!</v>
      </c>
      <c r="AC17" s="6"/>
      <c r="AD17" s="23"/>
      <c r="AE17" s="23">
        <f>IF(AND(J17&gt;0,AC17&gt;0),J17*AC17*Inputs!$C$71,0)</f>
        <v>0</v>
      </c>
      <c r="AF17" s="23">
        <f>IF(AND(J17&gt;0,AD17&gt;0),J17*AD17*Inputs!$C$72,0)</f>
        <v>0</v>
      </c>
      <c r="AG17" s="23" t="e">
        <f t="shared" si="10"/>
        <v>#VALUE!</v>
      </c>
      <c r="AH17" s="23" t="e">
        <f t="shared" si="11"/>
        <v>#VALUE!</v>
      </c>
      <c r="AI17" s="23" t="e">
        <f t="shared" si="12"/>
        <v>#VALUE!</v>
      </c>
      <c r="AJ17" s="23" t="e">
        <f t="shared" si="13"/>
        <v>#VALUE!</v>
      </c>
    </row>
    <row r="18" spans="1:36" x14ac:dyDescent="0.2">
      <c r="A18" s="6"/>
      <c r="B18" s="6"/>
      <c r="C18" s="6"/>
      <c r="D18" s="6"/>
      <c r="E18" s="11"/>
      <c r="F18" s="11"/>
      <c r="G18" s="11"/>
      <c r="H18" s="11"/>
      <c r="I18" s="10" t="str">
        <f t="shared" si="0"/>
        <v/>
      </c>
      <c r="J18" s="10" t="str">
        <f t="shared" si="1"/>
        <v/>
      </c>
      <c r="K18" s="14" t="str">
        <f t="shared" si="2"/>
        <v/>
      </c>
      <c r="L18" s="10" t="str">
        <f>IF(C18="BC",'Mix Design'!$B$9,IF(C18="DBM",'Mix Design'!$C$9,""))</f>
        <v/>
      </c>
      <c r="M18" s="10" t="str">
        <f>IF(C18="BC",Inputs!$C$17,IF(C18="DBM",Inputs!$C$18,""))</f>
        <v/>
      </c>
      <c r="N18" s="10" t="e">
        <f t="shared" si="3"/>
        <v>#VALUE!</v>
      </c>
      <c r="O18" s="10" t="e">
        <f t="shared" si="4"/>
        <v>#VALUE!</v>
      </c>
      <c r="P18" s="10" t="e">
        <f t="shared" si="5"/>
        <v>#VALUE!</v>
      </c>
      <c r="Q18" s="23" t="e">
        <f>IF(AND(P18&gt;0,Inputs!$C$6&gt;0),P18/Inputs!$C$6*Inputs!$C$7,"")</f>
        <v>#VALUE!</v>
      </c>
      <c r="R18" s="23" t="str">
        <f>IF(C18="BC",'Rate Model'!$C$19,IF(C18="DBM",'Rate Model'!$E$19,""))</f>
        <v/>
      </c>
      <c r="S18" s="11" t="e">
        <f t="shared" si="6"/>
        <v>#VALUE!</v>
      </c>
      <c r="T18" s="11" t="str">
        <f>IF(A18&lt;&gt;"",Inputs!$C$47,"")</f>
        <v/>
      </c>
      <c r="U18" s="11" t="str">
        <f>IF(A18&lt;&gt;"",Inputs!$C$48,"")</f>
        <v/>
      </c>
      <c r="V18" s="11">
        <v>2</v>
      </c>
      <c r="W18" s="11" t="str">
        <f>IF(A18&lt;&gt;"",Inputs!$C$49,"")</f>
        <v/>
      </c>
      <c r="X18" s="23">
        <v>0</v>
      </c>
      <c r="Y18" s="23" t="e">
        <f t="shared" si="7"/>
        <v>#VALUE!</v>
      </c>
      <c r="Z18" s="23" t="e">
        <f t="shared" si="8"/>
        <v>#VALUE!</v>
      </c>
      <c r="AA18" s="5" t="str">
        <f>IF(A18&lt;&gt;"",Inputs!$C$57,"")</f>
        <v/>
      </c>
      <c r="AB18" s="6" t="e">
        <f t="shared" si="9"/>
        <v>#VALUE!</v>
      </c>
      <c r="AC18" s="6"/>
      <c r="AD18" s="23"/>
      <c r="AE18" s="23">
        <f>IF(AND(J18&gt;0,AC18&gt;0),J18*AC18*Inputs!$C$71,0)</f>
        <v>0</v>
      </c>
      <c r="AF18" s="23">
        <f>IF(AND(J18&gt;0,AD18&gt;0),J18*AD18*Inputs!$C$72,0)</f>
        <v>0</v>
      </c>
      <c r="AG18" s="23" t="e">
        <f t="shared" si="10"/>
        <v>#VALUE!</v>
      </c>
      <c r="AH18" s="23" t="e">
        <f t="shared" si="11"/>
        <v>#VALUE!</v>
      </c>
      <c r="AI18" s="23" t="e">
        <f t="shared" si="12"/>
        <v>#VALUE!</v>
      </c>
      <c r="AJ18" s="23" t="e">
        <f t="shared" si="13"/>
        <v>#VALUE!</v>
      </c>
    </row>
    <row r="19" spans="1:36" x14ac:dyDescent="0.2">
      <c r="A19" s="6"/>
      <c r="B19" s="6"/>
      <c r="C19" s="6"/>
      <c r="D19" s="6"/>
      <c r="E19" s="11"/>
      <c r="F19" s="11"/>
      <c r="G19" s="11"/>
      <c r="H19" s="11"/>
      <c r="I19" s="10" t="str">
        <f t="shared" si="0"/>
        <v/>
      </c>
      <c r="J19" s="10" t="str">
        <f t="shared" si="1"/>
        <v/>
      </c>
      <c r="K19" s="14" t="str">
        <f t="shared" si="2"/>
        <v/>
      </c>
      <c r="L19" s="10" t="str">
        <f>IF(C19="BC",'Mix Design'!$B$9,IF(C19="DBM",'Mix Design'!$C$9,""))</f>
        <v/>
      </c>
      <c r="M19" s="10" t="str">
        <f>IF(C19="BC",Inputs!$C$17,IF(C19="DBM",Inputs!$C$18,""))</f>
        <v/>
      </c>
      <c r="N19" s="10" t="e">
        <f t="shared" si="3"/>
        <v>#VALUE!</v>
      </c>
      <c r="O19" s="10" t="e">
        <f t="shared" si="4"/>
        <v>#VALUE!</v>
      </c>
      <c r="P19" s="10" t="e">
        <f t="shared" si="5"/>
        <v>#VALUE!</v>
      </c>
      <c r="Q19" s="23" t="e">
        <f>IF(AND(P19&gt;0,Inputs!$C$6&gt;0),P19/Inputs!$C$6*Inputs!$C$7,"")</f>
        <v>#VALUE!</v>
      </c>
      <c r="R19" s="23" t="str">
        <f>IF(C19="BC",'Rate Model'!$C$19,IF(C19="DBM",'Rate Model'!$E$19,""))</f>
        <v/>
      </c>
      <c r="S19" s="11" t="e">
        <f t="shared" si="6"/>
        <v>#VALUE!</v>
      </c>
      <c r="T19" s="11" t="str">
        <f>IF(A19&lt;&gt;"",Inputs!$C$47,"")</f>
        <v/>
      </c>
      <c r="U19" s="11" t="str">
        <f>IF(A19&lt;&gt;"",Inputs!$C$48,"")</f>
        <v/>
      </c>
      <c r="V19" s="11">
        <v>2</v>
      </c>
      <c r="W19" s="11" t="str">
        <f>IF(A19&lt;&gt;"",Inputs!$C$49,"")</f>
        <v/>
      </c>
      <c r="X19" s="23">
        <v>0</v>
      </c>
      <c r="Y19" s="23" t="e">
        <f t="shared" si="7"/>
        <v>#VALUE!</v>
      </c>
      <c r="Z19" s="23" t="e">
        <f t="shared" si="8"/>
        <v>#VALUE!</v>
      </c>
      <c r="AA19" s="5" t="str">
        <f>IF(A19&lt;&gt;"",Inputs!$C$57,"")</f>
        <v/>
      </c>
      <c r="AB19" s="6" t="e">
        <f t="shared" si="9"/>
        <v>#VALUE!</v>
      </c>
      <c r="AC19" s="6"/>
      <c r="AD19" s="23"/>
      <c r="AE19" s="23">
        <f>IF(AND(J19&gt;0,AC19&gt;0),J19*AC19*Inputs!$C$71,0)</f>
        <v>0</v>
      </c>
      <c r="AF19" s="23">
        <f>IF(AND(J19&gt;0,AD19&gt;0),J19*AD19*Inputs!$C$72,0)</f>
        <v>0</v>
      </c>
      <c r="AG19" s="23" t="e">
        <f t="shared" si="10"/>
        <v>#VALUE!</v>
      </c>
      <c r="AH19" s="23" t="e">
        <f t="shared" si="11"/>
        <v>#VALUE!</v>
      </c>
      <c r="AI19" s="23" t="e">
        <f t="shared" si="12"/>
        <v>#VALUE!</v>
      </c>
      <c r="AJ19" s="23" t="e">
        <f t="shared" si="13"/>
        <v>#VALUE!</v>
      </c>
    </row>
    <row r="20" spans="1:36" x14ac:dyDescent="0.2">
      <c r="A20" s="6"/>
      <c r="B20" s="6"/>
      <c r="C20" s="6"/>
      <c r="D20" s="6"/>
      <c r="E20" s="11"/>
      <c r="F20" s="11"/>
      <c r="G20" s="11"/>
      <c r="H20" s="11"/>
      <c r="I20" s="10" t="str">
        <f t="shared" si="0"/>
        <v/>
      </c>
      <c r="J20" s="10" t="str">
        <f t="shared" si="1"/>
        <v/>
      </c>
      <c r="K20" s="14" t="str">
        <f t="shared" si="2"/>
        <v/>
      </c>
      <c r="L20" s="10" t="str">
        <f>IF(C20="BC",'Mix Design'!$B$9,IF(C20="DBM",'Mix Design'!$C$9,""))</f>
        <v/>
      </c>
      <c r="M20" s="10" t="str">
        <f>IF(C20="BC",Inputs!$C$17,IF(C20="DBM",Inputs!$C$18,""))</f>
        <v/>
      </c>
      <c r="N20" s="10" t="e">
        <f t="shared" si="3"/>
        <v>#VALUE!</v>
      </c>
      <c r="O20" s="10" t="e">
        <f t="shared" si="4"/>
        <v>#VALUE!</v>
      </c>
      <c r="P20" s="10" t="e">
        <f t="shared" si="5"/>
        <v>#VALUE!</v>
      </c>
      <c r="Q20" s="23" t="e">
        <f>IF(AND(P20&gt;0,Inputs!$C$6&gt;0),P20/Inputs!$C$6*Inputs!$C$7,"")</f>
        <v>#VALUE!</v>
      </c>
      <c r="R20" s="23" t="str">
        <f>IF(C20="BC",'Rate Model'!$C$19,IF(C20="DBM",'Rate Model'!$E$19,""))</f>
        <v/>
      </c>
      <c r="S20" s="11" t="e">
        <f t="shared" si="6"/>
        <v>#VALUE!</v>
      </c>
      <c r="T20" s="11" t="str">
        <f>IF(A20&lt;&gt;"",Inputs!$C$47,"")</f>
        <v/>
      </c>
      <c r="U20" s="11" t="str">
        <f>IF(A20&lt;&gt;"",Inputs!$C$48,"")</f>
        <v/>
      </c>
      <c r="V20" s="11">
        <v>2</v>
      </c>
      <c r="W20" s="11" t="str">
        <f>IF(A20&lt;&gt;"",Inputs!$C$49,"")</f>
        <v/>
      </c>
      <c r="X20" s="23">
        <v>0</v>
      </c>
      <c r="Y20" s="23" t="e">
        <f t="shared" si="7"/>
        <v>#VALUE!</v>
      </c>
      <c r="Z20" s="23" t="e">
        <f t="shared" si="8"/>
        <v>#VALUE!</v>
      </c>
      <c r="AA20" s="5" t="str">
        <f>IF(A20&lt;&gt;"",Inputs!$C$57,"")</f>
        <v/>
      </c>
      <c r="AB20" s="6" t="e">
        <f t="shared" si="9"/>
        <v>#VALUE!</v>
      </c>
      <c r="AC20" s="6"/>
      <c r="AD20" s="23"/>
      <c r="AE20" s="23">
        <f>IF(AND(J20&gt;0,AC20&gt;0),J20*AC20*Inputs!$C$71,0)</f>
        <v>0</v>
      </c>
      <c r="AF20" s="23">
        <f>IF(AND(J20&gt;0,AD20&gt;0),J20*AD20*Inputs!$C$72,0)</f>
        <v>0</v>
      </c>
      <c r="AG20" s="23" t="e">
        <f t="shared" si="10"/>
        <v>#VALUE!</v>
      </c>
      <c r="AH20" s="23" t="e">
        <f t="shared" si="11"/>
        <v>#VALUE!</v>
      </c>
      <c r="AI20" s="23" t="e">
        <f t="shared" si="12"/>
        <v>#VALUE!</v>
      </c>
      <c r="AJ20" s="23" t="e">
        <f t="shared" si="13"/>
        <v>#VALUE!</v>
      </c>
    </row>
    <row r="21" spans="1:36" x14ac:dyDescent="0.2">
      <c r="A21" s="6"/>
      <c r="B21" s="6"/>
      <c r="C21" s="6"/>
      <c r="D21" s="6"/>
      <c r="E21" s="11"/>
      <c r="F21" s="11"/>
      <c r="G21" s="11"/>
      <c r="H21" s="11"/>
      <c r="I21" s="10" t="str">
        <f t="shared" si="0"/>
        <v/>
      </c>
      <c r="J21" s="10" t="str">
        <f t="shared" si="1"/>
        <v/>
      </c>
      <c r="K21" s="14" t="str">
        <f t="shared" si="2"/>
        <v/>
      </c>
      <c r="L21" s="10" t="str">
        <f>IF(C21="BC",'Mix Design'!$B$9,IF(C21="DBM",'Mix Design'!$C$9,""))</f>
        <v/>
      </c>
      <c r="M21" s="10" t="str">
        <f>IF(C21="BC",Inputs!$C$17,IF(C21="DBM",Inputs!$C$18,""))</f>
        <v/>
      </c>
      <c r="N21" s="10" t="e">
        <f t="shared" si="3"/>
        <v>#VALUE!</v>
      </c>
      <c r="O21" s="10" t="e">
        <f t="shared" si="4"/>
        <v>#VALUE!</v>
      </c>
      <c r="P21" s="10" t="e">
        <f t="shared" si="5"/>
        <v>#VALUE!</v>
      </c>
      <c r="Q21" s="23" t="e">
        <f>IF(AND(P21&gt;0,Inputs!$C$6&gt;0),P21/Inputs!$C$6*Inputs!$C$7,"")</f>
        <v>#VALUE!</v>
      </c>
      <c r="R21" s="23" t="str">
        <f>IF(C21="BC",'Rate Model'!$C$19,IF(C21="DBM",'Rate Model'!$E$19,""))</f>
        <v/>
      </c>
      <c r="S21" s="11" t="e">
        <f t="shared" si="6"/>
        <v>#VALUE!</v>
      </c>
      <c r="T21" s="11" t="str">
        <f>IF(A21&lt;&gt;"",Inputs!$C$47,"")</f>
        <v/>
      </c>
      <c r="U21" s="11" t="str">
        <f>IF(A21&lt;&gt;"",Inputs!$C$48,"")</f>
        <v/>
      </c>
      <c r="V21" s="11">
        <v>2</v>
      </c>
      <c r="W21" s="11" t="str">
        <f>IF(A21&lt;&gt;"",Inputs!$C$49,"")</f>
        <v/>
      </c>
      <c r="X21" s="23">
        <v>0</v>
      </c>
      <c r="Y21" s="23" t="e">
        <f t="shared" si="7"/>
        <v>#VALUE!</v>
      </c>
      <c r="Z21" s="23" t="e">
        <f t="shared" si="8"/>
        <v>#VALUE!</v>
      </c>
      <c r="AA21" s="5" t="str">
        <f>IF(A21&lt;&gt;"",Inputs!$C$57,"")</f>
        <v/>
      </c>
      <c r="AB21" s="6" t="e">
        <f t="shared" si="9"/>
        <v>#VALUE!</v>
      </c>
      <c r="AC21" s="6"/>
      <c r="AD21" s="23"/>
      <c r="AE21" s="23">
        <f>IF(AND(J21&gt;0,AC21&gt;0),J21*AC21*Inputs!$C$71,0)</f>
        <v>0</v>
      </c>
      <c r="AF21" s="23">
        <f>IF(AND(J21&gt;0,AD21&gt;0),J21*AD21*Inputs!$C$72,0)</f>
        <v>0</v>
      </c>
      <c r="AG21" s="23" t="e">
        <f t="shared" si="10"/>
        <v>#VALUE!</v>
      </c>
      <c r="AH21" s="23" t="e">
        <f t="shared" si="11"/>
        <v>#VALUE!</v>
      </c>
      <c r="AI21" s="23" t="e">
        <f t="shared" si="12"/>
        <v>#VALUE!</v>
      </c>
      <c r="AJ21" s="23" t="e">
        <f t="shared" si="13"/>
        <v>#VALUE!</v>
      </c>
    </row>
    <row r="22" spans="1:36" x14ac:dyDescent="0.2">
      <c r="A22" s="6"/>
      <c r="B22" s="6"/>
      <c r="C22" s="6"/>
      <c r="D22" s="6"/>
      <c r="E22" s="11"/>
      <c r="F22" s="11"/>
      <c r="G22" s="11"/>
      <c r="H22" s="11"/>
      <c r="I22" s="10" t="str">
        <f t="shared" si="0"/>
        <v/>
      </c>
      <c r="J22" s="10" t="str">
        <f t="shared" si="1"/>
        <v/>
      </c>
      <c r="K22" s="14" t="str">
        <f t="shared" si="2"/>
        <v/>
      </c>
      <c r="L22" s="10" t="str">
        <f>IF(C22="BC",'Mix Design'!$B$9,IF(C22="DBM",'Mix Design'!$C$9,""))</f>
        <v/>
      </c>
      <c r="M22" s="10" t="str">
        <f>IF(C22="BC",Inputs!$C$17,IF(C22="DBM",Inputs!$C$18,""))</f>
        <v/>
      </c>
      <c r="N22" s="10" t="e">
        <f t="shared" si="3"/>
        <v>#VALUE!</v>
      </c>
      <c r="O22" s="10" t="e">
        <f t="shared" si="4"/>
        <v>#VALUE!</v>
      </c>
      <c r="P22" s="10" t="e">
        <f t="shared" si="5"/>
        <v>#VALUE!</v>
      </c>
      <c r="Q22" s="23" t="e">
        <f>IF(AND(P22&gt;0,Inputs!$C$6&gt;0),P22/Inputs!$C$6*Inputs!$C$7,"")</f>
        <v>#VALUE!</v>
      </c>
      <c r="R22" s="23" t="str">
        <f>IF(C22="BC",'Rate Model'!$C$19,IF(C22="DBM",'Rate Model'!$E$19,""))</f>
        <v/>
      </c>
      <c r="S22" s="11" t="e">
        <f t="shared" si="6"/>
        <v>#VALUE!</v>
      </c>
      <c r="T22" s="11" t="str">
        <f>IF(A22&lt;&gt;"",Inputs!$C$47,"")</f>
        <v/>
      </c>
      <c r="U22" s="11" t="str">
        <f>IF(A22&lt;&gt;"",Inputs!$C$48,"")</f>
        <v/>
      </c>
      <c r="V22" s="11">
        <v>2</v>
      </c>
      <c r="W22" s="11" t="str">
        <f>IF(A22&lt;&gt;"",Inputs!$C$49,"")</f>
        <v/>
      </c>
      <c r="X22" s="23">
        <v>0</v>
      </c>
      <c r="Y22" s="23" t="e">
        <f t="shared" si="7"/>
        <v>#VALUE!</v>
      </c>
      <c r="Z22" s="23" t="e">
        <f t="shared" si="8"/>
        <v>#VALUE!</v>
      </c>
      <c r="AA22" s="5" t="str">
        <f>IF(A22&lt;&gt;"",Inputs!$C$57,"")</f>
        <v/>
      </c>
      <c r="AB22" s="6" t="e">
        <f t="shared" si="9"/>
        <v>#VALUE!</v>
      </c>
      <c r="AC22" s="6"/>
      <c r="AD22" s="23"/>
      <c r="AE22" s="23">
        <f>IF(AND(J22&gt;0,AC22&gt;0),J22*AC22*Inputs!$C$71,0)</f>
        <v>0</v>
      </c>
      <c r="AF22" s="23">
        <f>IF(AND(J22&gt;0,AD22&gt;0),J22*AD22*Inputs!$C$72,0)</f>
        <v>0</v>
      </c>
      <c r="AG22" s="23" t="e">
        <f t="shared" si="10"/>
        <v>#VALUE!</v>
      </c>
      <c r="AH22" s="23" t="e">
        <f t="shared" si="11"/>
        <v>#VALUE!</v>
      </c>
      <c r="AI22" s="23" t="e">
        <f t="shared" si="12"/>
        <v>#VALUE!</v>
      </c>
      <c r="AJ22" s="23" t="e">
        <f t="shared" si="13"/>
        <v>#VALUE!</v>
      </c>
    </row>
    <row r="23" spans="1:36" x14ac:dyDescent="0.2">
      <c r="A23" s="6"/>
      <c r="B23" s="6"/>
      <c r="C23" s="6"/>
      <c r="D23" s="6"/>
      <c r="E23" s="11"/>
      <c r="F23" s="11"/>
      <c r="G23" s="11"/>
      <c r="H23" s="11"/>
      <c r="I23" s="10" t="str">
        <f t="shared" si="0"/>
        <v/>
      </c>
      <c r="J23" s="10" t="str">
        <f t="shared" si="1"/>
        <v/>
      </c>
      <c r="K23" s="14" t="str">
        <f t="shared" si="2"/>
        <v/>
      </c>
      <c r="L23" s="10" t="str">
        <f>IF(C23="BC",'Mix Design'!$B$9,IF(C23="DBM",'Mix Design'!$C$9,""))</f>
        <v/>
      </c>
      <c r="M23" s="10" t="str">
        <f>IF(C23="BC",Inputs!$C$17,IF(C23="DBM",Inputs!$C$18,""))</f>
        <v/>
      </c>
      <c r="N23" s="10" t="e">
        <f t="shared" si="3"/>
        <v>#VALUE!</v>
      </c>
      <c r="O23" s="10" t="e">
        <f t="shared" si="4"/>
        <v>#VALUE!</v>
      </c>
      <c r="P23" s="10" t="e">
        <f t="shared" si="5"/>
        <v>#VALUE!</v>
      </c>
      <c r="Q23" s="23" t="e">
        <f>IF(AND(P23&gt;0,Inputs!$C$6&gt;0),P23/Inputs!$C$6*Inputs!$C$7,"")</f>
        <v>#VALUE!</v>
      </c>
      <c r="R23" s="23" t="str">
        <f>IF(C23="BC",'Rate Model'!$C$19,IF(C23="DBM",'Rate Model'!$E$19,""))</f>
        <v/>
      </c>
      <c r="S23" s="11" t="e">
        <f t="shared" si="6"/>
        <v>#VALUE!</v>
      </c>
      <c r="T23" s="11" t="str">
        <f>IF(A23&lt;&gt;"",Inputs!$C$47,"")</f>
        <v/>
      </c>
      <c r="U23" s="11" t="str">
        <f>IF(A23&lt;&gt;"",Inputs!$C$48,"")</f>
        <v/>
      </c>
      <c r="V23" s="11">
        <v>2</v>
      </c>
      <c r="W23" s="11" t="str">
        <f>IF(A23&lt;&gt;"",Inputs!$C$49,"")</f>
        <v/>
      </c>
      <c r="X23" s="23">
        <v>0</v>
      </c>
      <c r="Y23" s="23" t="e">
        <f t="shared" si="7"/>
        <v>#VALUE!</v>
      </c>
      <c r="Z23" s="23" t="e">
        <f t="shared" si="8"/>
        <v>#VALUE!</v>
      </c>
      <c r="AA23" s="5" t="str">
        <f>IF(A23&lt;&gt;"",Inputs!$C$57,"")</f>
        <v/>
      </c>
      <c r="AB23" s="6" t="e">
        <f t="shared" si="9"/>
        <v>#VALUE!</v>
      </c>
      <c r="AC23" s="6"/>
      <c r="AD23" s="23"/>
      <c r="AE23" s="23">
        <f>IF(AND(J23&gt;0,AC23&gt;0),J23*AC23*Inputs!$C$71,0)</f>
        <v>0</v>
      </c>
      <c r="AF23" s="23">
        <f>IF(AND(J23&gt;0,AD23&gt;0),J23*AD23*Inputs!$C$72,0)</f>
        <v>0</v>
      </c>
      <c r="AG23" s="23" t="e">
        <f t="shared" si="10"/>
        <v>#VALUE!</v>
      </c>
      <c r="AH23" s="23" t="e">
        <f t="shared" si="11"/>
        <v>#VALUE!</v>
      </c>
      <c r="AI23" s="23" t="e">
        <f t="shared" si="12"/>
        <v>#VALUE!</v>
      </c>
      <c r="AJ23" s="23" t="e">
        <f t="shared" si="13"/>
        <v>#VALUE!</v>
      </c>
    </row>
    <row r="24" spans="1:36" x14ac:dyDescent="0.2">
      <c r="A24" s="6"/>
      <c r="B24" s="6"/>
      <c r="C24" s="6"/>
      <c r="D24" s="6"/>
      <c r="E24" s="11"/>
      <c r="F24" s="11"/>
      <c r="G24" s="11"/>
      <c r="H24" s="11"/>
      <c r="I24" s="10" t="str">
        <f t="shared" si="0"/>
        <v/>
      </c>
      <c r="J24" s="10" t="str">
        <f t="shared" si="1"/>
        <v/>
      </c>
      <c r="K24" s="14" t="str">
        <f t="shared" si="2"/>
        <v/>
      </c>
      <c r="L24" s="10" t="str">
        <f>IF(C24="BC",'Mix Design'!$B$9,IF(C24="DBM",'Mix Design'!$C$9,""))</f>
        <v/>
      </c>
      <c r="M24" s="10" t="str">
        <f>IF(C24="BC",Inputs!$C$17,IF(C24="DBM",Inputs!$C$18,""))</f>
        <v/>
      </c>
      <c r="N24" s="10" t="e">
        <f t="shared" si="3"/>
        <v>#VALUE!</v>
      </c>
      <c r="O24" s="10" t="e">
        <f t="shared" si="4"/>
        <v>#VALUE!</v>
      </c>
      <c r="P24" s="10" t="e">
        <f t="shared" si="5"/>
        <v>#VALUE!</v>
      </c>
      <c r="Q24" s="23" t="e">
        <f>IF(AND(P24&gt;0,Inputs!$C$6&gt;0),P24/Inputs!$C$6*Inputs!$C$7,"")</f>
        <v>#VALUE!</v>
      </c>
      <c r="R24" s="23" t="str">
        <f>IF(C24="BC",'Rate Model'!$C$19,IF(C24="DBM",'Rate Model'!$E$19,""))</f>
        <v/>
      </c>
      <c r="S24" s="11" t="e">
        <f t="shared" si="6"/>
        <v>#VALUE!</v>
      </c>
      <c r="T24" s="11" t="str">
        <f>IF(A24&lt;&gt;"",Inputs!$C$47,"")</f>
        <v/>
      </c>
      <c r="U24" s="11" t="str">
        <f>IF(A24&lt;&gt;"",Inputs!$C$48,"")</f>
        <v/>
      </c>
      <c r="V24" s="11">
        <v>2</v>
      </c>
      <c r="W24" s="11" t="str">
        <f>IF(A24&lt;&gt;"",Inputs!$C$49,"")</f>
        <v/>
      </c>
      <c r="X24" s="23">
        <v>0</v>
      </c>
      <c r="Y24" s="23" t="e">
        <f t="shared" si="7"/>
        <v>#VALUE!</v>
      </c>
      <c r="Z24" s="23" t="e">
        <f t="shared" si="8"/>
        <v>#VALUE!</v>
      </c>
      <c r="AA24" s="5" t="str">
        <f>IF(A24&lt;&gt;"",Inputs!$C$57,"")</f>
        <v/>
      </c>
      <c r="AB24" s="6" t="e">
        <f t="shared" si="9"/>
        <v>#VALUE!</v>
      </c>
      <c r="AC24" s="6"/>
      <c r="AD24" s="23"/>
      <c r="AE24" s="23">
        <f>IF(AND(J24&gt;0,AC24&gt;0),J24*AC24*Inputs!$C$71,0)</f>
        <v>0</v>
      </c>
      <c r="AF24" s="23">
        <f>IF(AND(J24&gt;0,AD24&gt;0),J24*AD24*Inputs!$C$72,0)</f>
        <v>0</v>
      </c>
      <c r="AG24" s="23" t="e">
        <f t="shared" si="10"/>
        <v>#VALUE!</v>
      </c>
      <c r="AH24" s="23" t="e">
        <f t="shared" si="11"/>
        <v>#VALUE!</v>
      </c>
      <c r="AI24" s="23" t="e">
        <f t="shared" si="12"/>
        <v>#VALUE!</v>
      </c>
      <c r="AJ24" s="23" t="e">
        <f t="shared" si="13"/>
        <v>#VALUE!</v>
      </c>
    </row>
    <row r="25" spans="1:36" x14ac:dyDescent="0.2">
      <c r="A25" s="6"/>
      <c r="B25" s="6"/>
      <c r="C25" s="6"/>
      <c r="D25" s="6"/>
      <c r="E25" s="11"/>
      <c r="F25" s="11"/>
      <c r="G25" s="11"/>
      <c r="H25" s="11"/>
      <c r="I25" s="10" t="str">
        <f t="shared" si="0"/>
        <v/>
      </c>
      <c r="J25" s="10" t="str">
        <f t="shared" si="1"/>
        <v/>
      </c>
      <c r="K25" s="14" t="str">
        <f t="shared" si="2"/>
        <v/>
      </c>
      <c r="L25" s="10" t="str">
        <f>IF(C25="BC",'Mix Design'!$B$9,IF(C25="DBM",'Mix Design'!$C$9,""))</f>
        <v/>
      </c>
      <c r="M25" s="10" t="str">
        <f>IF(C25="BC",Inputs!$C$17,IF(C25="DBM",Inputs!$C$18,""))</f>
        <v/>
      </c>
      <c r="N25" s="10" t="e">
        <f t="shared" si="3"/>
        <v>#VALUE!</v>
      </c>
      <c r="O25" s="10" t="e">
        <f t="shared" si="4"/>
        <v>#VALUE!</v>
      </c>
      <c r="P25" s="10" t="e">
        <f t="shared" si="5"/>
        <v>#VALUE!</v>
      </c>
      <c r="Q25" s="23" t="e">
        <f>IF(AND(P25&gt;0,Inputs!$C$6&gt;0),P25/Inputs!$C$6*Inputs!$C$7,"")</f>
        <v>#VALUE!</v>
      </c>
      <c r="R25" s="23" t="str">
        <f>IF(C25="BC",'Rate Model'!$C$19,IF(C25="DBM",'Rate Model'!$E$19,""))</f>
        <v/>
      </c>
      <c r="S25" s="11" t="e">
        <f t="shared" si="6"/>
        <v>#VALUE!</v>
      </c>
      <c r="T25" s="11" t="str">
        <f>IF(A25&lt;&gt;"",Inputs!$C$47,"")</f>
        <v/>
      </c>
      <c r="U25" s="11" t="str">
        <f>IF(A25&lt;&gt;"",Inputs!$C$48,"")</f>
        <v/>
      </c>
      <c r="V25" s="11">
        <v>2</v>
      </c>
      <c r="W25" s="11" t="str">
        <f>IF(A25&lt;&gt;"",Inputs!$C$49,"")</f>
        <v/>
      </c>
      <c r="X25" s="23">
        <v>0</v>
      </c>
      <c r="Y25" s="23" t="e">
        <f t="shared" si="7"/>
        <v>#VALUE!</v>
      </c>
      <c r="Z25" s="23" t="e">
        <f t="shared" si="8"/>
        <v>#VALUE!</v>
      </c>
      <c r="AA25" s="5" t="str">
        <f>IF(A25&lt;&gt;"",Inputs!$C$57,"")</f>
        <v/>
      </c>
      <c r="AB25" s="6" t="e">
        <f t="shared" si="9"/>
        <v>#VALUE!</v>
      </c>
      <c r="AC25" s="6"/>
      <c r="AD25" s="23"/>
      <c r="AE25" s="23">
        <f>IF(AND(J25&gt;0,AC25&gt;0),J25*AC25*Inputs!$C$71,0)</f>
        <v>0</v>
      </c>
      <c r="AF25" s="23">
        <f>IF(AND(J25&gt;0,AD25&gt;0),J25*AD25*Inputs!$C$72,0)</f>
        <v>0</v>
      </c>
      <c r="AG25" s="23" t="e">
        <f t="shared" si="10"/>
        <v>#VALUE!</v>
      </c>
      <c r="AH25" s="23" t="e">
        <f t="shared" si="11"/>
        <v>#VALUE!</v>
      </c>
      <c r="AI25" s="23" t="e">
        <f t="shared" si="12"/>
        <v>#VALUE!</v>
      </c>
      <c r="AJ25" s="23" t="e">
        <f t="shared" si="13"/>
        <v>#VALUE!</v>
      </c>
    </row>
    <row r="26" spans="1:36" x14ac:dyDescent="0.2">
      <c r="A26" s="6"/>
      <c r="B26" s="6"/>
      <c r="C26" s="6"/>
      <c r="D26" s="6"/>
      <c r="E26" s="11"/>
      <c r="F26" s="11"/>
      <c r="G26" s="11"/>
      <c r="H26" s="11"/>
      <c r="I26" s="10" t="str">
        <f t="shared" si="0"/>
        <v/>
      </c>
      <c r="J26" s="10" t="str">
        <f t="shared" si="1"/>
        <v/>
      </c>
      <c r="K26" s="14" t="str">
        <f t="shared" si="2"/>
        <v/>
      </c>
      <c r="L26" s="10" t="str">
        <f>IF(C26="BC",'Mix Design'!$B$9,IF(C26="DBM",'Mix Design'!$C$9,""))</f>
        <v/>
      </c>
      <c r="M26" s="10" t="str">
        <f>IF(C26="BC",Inputs!$C$17,IF(C26="DBM",Inputs!$C$18,""))</f>
        <v/>
      </c>
      <c r="N26" s="10" t="e">
        <f t="shared" si="3"/>
        <v>#VALUE!</v>
      </c>
      <c r="O26" s="10" t="e">
        <f t="shared" si="4"/>
        <v>#VALUE!</v>
      </c>
      <c r="P26" s="10" t="e">
        <f t="shared" si="5"/>
        <v>#VALUE!</v>
      </c>
      <c r="Q26" s="23" t="e">
        <f>IF(AND(P26&gt;0,Inputs!$C$6&gt;0),P26/Inputs!$C$6*Inputs!$C$7,"")</f>
        <v>#VALUE!</v>
      </c>
      <c r="R26" s="23" t="str">
        <f>IF(C26="BC",'Rate Model'!$C$19,IF(C26="DBM",'Rate Model'!$E$19,""))</f>
        <v/>
      </c>
      <c r="S26" s="11" t="e">
        <f t="shared" si="6"/>
        <v>#VALUE!</v>
      </c>
      <c r="T26" s="11" t="str">
        <f>IF(A26&lt;&gt;"",Inputs!$C$47,"")</f>
        <v/>
      </c>
      <c r="U26" s="11" t="str">
        <f>IF(A26&lt;&gt;"",Inputs!$C$48,"")</f>
        <v/>
      </c>
      <c r="V26" s="11">
        <v>2</v>
      </c>
      <c r="W26" s="11" t="str">
        <f>IF(A26&lt;&gt;"",Inputs!$C$49,"")</f>
        <v/>
      </c>
      <c r="X26" s="23">
        <v>0</v>
      </c>
      <c r="Y26" s="23" t="e">
        <f t="shared" si="7"/>
        <v>#VALUE!</v>
      </c>
      <c r="Z26" s="23" t="e">
        <f t="shared" si="8"/>
        <v>#VALUE!</v>
      </c>
      <c r="AA26" s="5" t="str">
        <f>IF(A26&lt;&gt;"",Inputs!$C$57,"")</f>
        <v/>
      </c>
      <c r="AB26" s="6" t="e">
        <f t="shared" si="9"/>
        <v>#VALUE!</v>
      </c>
      <c r="AC26" s="6"/>
      <c r="AD26" s="23"/>
      <c r="AE26" s="23">
        <f>IF(AND(J26&gt;0,AC26&gt;0),J26*AC26*Inputs!$C$71,0)</f>
        <v>0</v>
      </c>
      <c r="AF26" s="23">
        <f>IF(AND(J26&gt;0,AD26&gt;0),J26*AD26*Inputs!$C$72,0)</f>
        <v>0</v>
      </c>
      <c r="AG26" s="23" t="e">
        <f t="shared" si="10"/>
        <v>#VALUE!</v>
      </c>
      <c r="AH26" s="23" t="e">
        <f t="shared" si="11"/>
        <v>#VALUE!</v>
      </c>
      <c r="AI26" s="23" t="e">
        <f t="shared" si="12"/>
        <v>#VALUE!</v>
      </c>
      <c r="AJ26" s="23" t="e">
        <f t="shared" si="13"/>
        <v>#VALUE!</v>
      </c>
    </row>
    <row r="27" spans="1:36" x14ac:dyDescent="0.2">
      <c r="A27" s="6"/>
      <c r="B27" s="6"/>
      <c r="C27" s="6"/>
      <c r="D27" s="6"/>
      <c r="E27" s="11"/>
      <c r="F27" s="11"/>
      <c r="G27" s="11"/>
      <c r="H27" s="11"/>
      <c r="I27" s="10" t="str">
        <f t="shared" si="0"/>
        <v/>
      </c>
      <c r="J27" s="10" t="str">
        <f t="shared" si="1"/>
        <v/>
      </c>
      <c r="K27" s="14" t="str">
        <f t="shared" si="2"/>
        <v/>
      </c>
      <c r="L27" s="10" t="str">
        <f>IF(C27="BC",'Mix Design'!$B$9,IF(C27="DBM",'Mix Design'!$C$9,""))</f>
        <v/>
      </c>
      <c r="M27" s="10" t="str">
        <f>IF(C27="BC",Inputs!$C$17,IF(C27="DBM",Inputs!$C$18,""))</f>
        <v/>
      </c>
      <c r="N27" s="10" t="e">
        <f t="shared" si="3"/>
        <v>#VALUE!</v>
      </c>
      <c r="O27" s="10" t="e">
        <f t="shared" si="4"/>
        <v>#VALUE!</v>
      </c>
      <c r="P27" s="10" t="e">
        <f t="shared" si="5"/>
        <v>#VALUE!</v>
      </c>
      <c r="Q27" s="23" t="e">
        <f>IF(AND(P27&gt;0,Inputs!$C$6&gt;0),P27/Inputs!$C$6*Inputs!$C$7,"")</f>
        <v>#VALUE!</v>
      </c>
      <c r="R27" s="23" t="str">
        <f>IF(C27="BC",'Rate Model'!$C$19,IF(C27="DBM",'Rate Model'!$E$19,""))</f>
        <v/>
      </c>
      <c r="S27" s="11" t="e">
        <f t="shared" si="6"/>
        <v>#VALUE!</v>
      </c>
      <c r="T27" s="11" t="str">
        <f>IF(A27&lt;&gt;"",Inputs!$C$47,"")</f>
        <v/>
      </c>
      <c r="U27" s="11" t="str">
        <f>IF(A27&lt;&gt;"",Inputs!$C$48,"")</f>
        <v/>
      </c>
      <c r="V27" s="11">
        <v>2</v>
      </c>
      <c r="W27" s="11" t="str">
        <f>IF(A27&lt;&gt;"",Inputs!$C$49,"")</f>
        <v/>
      </c>
      <c r="X27" s="23">
        <v>0</v>
      </c>
      <c r="Y27" s="23" t="e">
        <f t="shared" si="7"/>
        <v>#VALUE!</v>
      </c>
      <c r="Z27" s="23" t="e">
        <f t="shared" si="8"/>
        <v>#VALUE!</v>
      </c>
      <c r="AA27" s="5" t="str">
        <f>IF(A27&lt;&gt;"",Inputs!$C$57,"")</f>
        <v/>
      </c>
      <c r="AB27" s="6" t="e">
        <f t="shared" si="9"/>
        <v>#VALUE!</v>
      </c>
      <c r="AC27" s="6"/>
      <c r="AD27" s="23"/>
      <c r="AE27" s="23">
        <f>IF(AND(J27&gt;0,AC27&gt;0),J27*AC27*Inputs!$C$71,0)</f>
        <v>0</v>
      </c>
      <c r="AF27" s="23">
        <f>IF(AND(J27&gt;0,AD27&gt;0),J27*AD27*Inputs!$C$72,0)</f>
        <v>0</v>
      </c>
      <c r="AG27" s="23" t="e">
        <f t="shared" si="10"/>
        <v>#VALUE!</v>
      </c>
      <c r="AH27" s="23" t="e">
        <f t="shared" si="11"/>
        <v>#VALUE!</v>
      </c>
      <c r="AI27" s="23" t="e">
        <f t="shared" si="12"/>
        <v>#VALUE!</v>
      </c>
      <c r="AJ27" s="23" t="e">
        <f t="shared" si="13"/>
        <v>#VALUE!</v>
      </c>
    </row>
    <row r="28" spans="1:36" x14ac:dyDescent="0.2">
      <c r="A28" s="6"/>
      <c r="B28" s="6"/>
      <c r="C28" s="6"/>
      <c r="D28" s="6"/>
      <c r="E28" s="11"/>
      <c r="F28" s="11"/>
      <c r="G28" s="11"/>
      <c r="H28" s="11"/>
      <c r="I28" s="10" t="str">
        <f t="shared" si="0"/>
        <v/>
      </c>
      <c r="J28" s="10" t="str">
        <f t="shared" si="1"/>
        <v/>
      </c>
      <c r="K28" s="14" t="str">
        <f t="shared" si="2"/>
        <v/>
      </c>
      <c r="L28" s="10" t="str">
        <f>IF(C28="BC",'Mix Design'!$B$9,IF(C28="DBM",'Mix Design'!$C$9,""))</f>
        <v/>
      </c>
      <c r="M28" s="10" t="str">
        <f>IF(C28="BC",Inputs!$C$17,IF(C28="DBM",Inputs!$C$18,""))</f>
        <v/>
      </c>
      <c r="N28" s="10" t="e">
        <f t="shared" si="3"/>
        <v>#VALUE!</v>
      </c>
      <c r="O28" s="10" t="e">
        <f t="shared" si="4"/>
        <v>#VALUE!</v>
      </c>
      <c r="P28" s="10" t="e">
        <f t="shared" si="5"/>
        <v>#VALUE!</v>
      </c>
      <c r="Q28" s="23" t="e">
        <f>IF(AND(P28&gt;0,Inputs!$C$6&gt;0),P28/Inputs!$C$6*Inputs!$C$7,"")</f>
        <v>#VALUE!</v>
      </c>
      <c r="R28" s="23" t="str">
        <f>IF(C28="BC",'Rate Model'!$C$19,IF(C28="DBM",'Rate Model'!$E$19,""))</f>
        <v/>
      </c>
      <c r="S28" s="11" t="e">
        <f t="shared" si="6"/>
        <v>#VALUE!</v>
      </c>
      <c r="T28" s="11" t="str">
        <f>IF(A28&lt;&gt;"",Inputs!$C$47,"")</f>
        <v/>
      </c>
      <c r="U28" s="11" t="str">
        <f>IF(A28&lt;&gt;"",Inputs!$C$48,"")</f>
        <v/>
      </c>
      <c r="V28" s="11">
        <v>2</v>
      </c>
      <c r="W28" s="11" t="str">
        <f>IF(A28&lt;&gt;"",Inputs!$C$49,"")</f>
        <v/>
      </c>
      <c r="X28" s="23">
        <v>0</v>
      </c>
      <c r="Y28" s="23" t="e">
        <f t="shared" si="7"/>
        <v>#VALUE!</v>
      </c>
      <c r="Z28" s="23" t="e">
        <f t="shared" si="8"/>
        <v>#VALUE!</v>
      </c>
      <c r="AA28" s="5" t="str">
        <f>IF(A28&lt;&gt;"",Inputs!$C$57,"")</f>
        <v/>
      </c>
      <c r="AB28" s="6" t="e">
        <f t="shared" si="9"/>
        <v>#VALUE!</v>
      </c>
      <c r="AC28" s="6"/>
      <c r="AD28" s="23"/>
      <c r="AE28" s="23">
        <f>IF(AND(J28&gt;0,AC28&gt;0),J28*AC28*Inputs!$C$71,0)</f>
        <v>0</v>
      </c>
      <c r="AF28" s="23">
        <f>IF(AND(J28&gt;0,AD28&gt;0),J28*AD28*Inputs!$C$72,0)</f>
        <v>0</v>
      </c>
      <c r="AG28" s="23" t="e">
        <f t="shared" si="10"/>
        <v>#VALUE!</v>
      </c>
      <c r="AH28" s="23" t="e">
        <f t="shared" si="11"/>
        <v>#VALUE!</v>
      </c>
      <c r="AI28" s="23" t="e">
        <f t="shared" si="12"/>
        <v>#VALUE!</v>
      </c>
      <c r="AJ28" s="23" t="e">
        <f t="shared" si="13"/>
        <v>#VALUE!</v>
      </c>
    </row>
    <row r="29" spans="1:36" x14ac:dyDescent="0.2">
      <c r="A29" s="6"/>
      <c r="B29" s="6"/>
      <c r="C29" s="6"/>
      <c r="D29" s="6"/>
      <c r="E29" s="11"/>
      <c r="F29" s="11"/>
      <c r="G29" s="11"/>
      <c r="H29" s="11"/>
      <c r="I29" s="10" t="str">
        <f t="shared" si="0"/>
        <v/>
      </c>
      <c r="J29" s="10" t="str">
        <f t="shared" si="1"/>
        <v/>
      </c>
      <c r="K29" s="14" t="str">
        <f t="shared" si="2"/>
        <v/>
      </c>
      <c r="L29" s="10" t="str">
        <f>IF(C29="BC",'Mix Design'!$B$9,IF(C29="DBM",'Mix Design'!$C$9,""))</f>
        <v/>
      </c>
      <c r="M29" s="10" t="str">
        <f>IF(C29="BC",Inputs!$C$17,IF(C29="DBM",Inputs!$C$18,""))</f>
        <v/>
      </c>
      <c r="N29" s="10" t="e">
        <f t="shared" si="3"/>
        <v>#VALUE!</v>
      </c>
      <c r="O29" s="10" t="e">
        <f t="shared" si="4"/>
        <v>#VALUE!</v>
      </c>
      <c r="P29" s="10" t="e">
        <f t="shared" si="5"/>
        <v>#VALUE!</v>
      </c>
      <c r="Q29" s="23" t="e">
        <f>IF(AND(P29&gt;0,Inputs!$C$6&gt;0),P29/Inputs!$C$6*Inputs!$C$7,"")</f>
        <v>#VALUE!</v>
      </c>
      <c r="R29" s="23" t="str">
        <f>IF(C29="BC",'Rate Model'!$C$19,IF(C29="DBM",'Rate Model'!$E$19,""))</f>
        <v/>
      </c>
      <c r="S29" s="11" t="e">
        <f t="shared" si="6"/>
        <v>#VALUE!</v>
      </c>
      <c r="T29" s="11" t="str">
        <f>IF(A29&lt;&gt;"",Inputs!$C$47,"")</f>
        <v/>
      </c>
      <c r="U29" s="11" t="str">
        <f>IF(A29&lt;&gt;"",Inputs!$C$48,"")</f>
        <v/>
      </c>
      <c r="V29" s="11">
        <v>2</v>
      </c>
      <c r="W29" s="11" t="str">
        <f>IF(A29&lt;&gt;"",Inputs!$C$49,"")</f>
        <v/>
      </c>
      <c r="X29" s="23">
        <v>0</v>
      </c>
      <c r="Y29" s="23" t="e">
        <f t="shared" si="7"/>
        <v>#VALUE!</v>
      </c>
      <c r="Z29" s="23" t="e">
        <f t="shared" si="8"/>
        <v>#VALUE!</v>
      </c>
      <c r="AA29" s="5" t="str">
        <f>IF(A29&lt;&gt;"",Inputs!$C$57,"")</f>
        <v/>
      </c>
      <c r="AB29" s="6" t="e">
        <f t="shared" si="9"/>
        <v>#VALUE!</v>
      </c>
      <c r="AC29" s="6"/>
      <c r="AD29" s="23"/>
      <c r="AE29" s="23">
        <f>IF(AND(J29&gt;0,AC29&gt;0),J29*AC29*Inputs!$C$71,0)</f>
        <v>0</v>
      </c>
      <c r="AF29" s="23">
        <f>IF(AND(J29&gt;0,AD29&gt;0),J29*AD29*Inputs!$C$72,0)</f>
        <v>0</v>
      </c>
      <c r="AG29" s="23" t="e">
        <f t="shared" si="10"/>
        <v>#VALUE!</v>
      </c>
      <c r="AH29" s="23" t="e">
        <f t="shared" si="11"/>
        <v>#VALUE!</v>
      </c>
      <c r="AI29" s="23" t="e">
        <f t="shared" si="12"/>
        <v>#VALUE!</v>
      </c>
      <c r="AJ29" s="23" t="e">
        <f t="shared" si="13"/>
        <v>#VALUE!</v>
      </c>
    </row>
    <row r="30" spans="1:36" x14ac:dyDescent="0.2">
      <c r="A30" s="6"/>
      <c r="B30" s="6"/>
      <c r="C30" s="6"/>
      <c r="D30" s="6"/>
      <c r="E30" s="11"/>
      <c r="F30" s="11"/>
      <c r="G30" s="11"/>
      <c r="H30" s="11"/>
      <c r="I30" s="10" t="str">
        <f t="shared" si="0"/>
        <v/>
      </c>
      <c r="J30" s="10" t="str">
        <f t="shared" si="1"/>
        <v/>
      </c>
      <c r="K30" s="14" t="str">
        <f t="shared" si="2"/>
        <v/>
      </c>
      <c r="L30" s="10" t="str">
        <f>IF(C30="BC",'Mix Design'!$B$9,IF(C30="DBM",'Mix Design'!$C$9,""))</f>
        <v/>
      </c>
      <c r="M30" s="10" t="str">
        <f>IF(C30="BC",Inputs!$C$17,IF(C30="DBM",Inputs!$C$18,""))</f>
        <v/>
      </c>
      <c r="N30" s="10" t="e">
        <f t="shared" si="3"/>
        <v>#VALUE!</v>
      </c>
      <c r="O30" s="10" t="e">
        <f t="shared" si="4"/>
        <v>#VALUE!</v>
      </c>
      <c r="P30" s="10" t="e">
        <f t="shared" si="5"/>
        <v>#VALUE!</v>
      </c>
      <c r="Q30" s="23" t="e">
        <f>IF(AND(P30&gt;0,Inputs!$C$6&gt;0),P30/Inputs!$C$6*Inputs!$C$7,"")</f>
        <v>#VALUE!</v>
      </c>
      <c r="R30" s="23" t="str">
        <f>IF(C30="BC",'Rate Model'!$C$19,IF(C30="DBM",'Rate Model'!$E$19,""))</f>
        <v/>
      </c>
      <c r="S30" s="11" t="e">
        <f t="shared" si="6"/>
        <v>#VALUE!</v>
      </c>
      <c r="T30" s="11" t="str">
        <f>IF(A30&lt;&gt;"",Inputs!$C$47,"")</f>
        <v/>
      </c>
      <c r="U30" s="11" t="str">
        <f>IF(A30&lt;&gt;"",Inputs!$C$48,"")</f>
        <v/>
      </c>
      <c r="V30" s="11">
        <v>2</v>
      </c>
      <c r="W30" s="11" t="str">
        <f>IF(A30&lt;&gt;"",Inputs!$C$49,"")</f>
        <v/>
      </c>
      <c r="X30" s="23">
        <v>0</v>
      </c>
      <c r="Y30" s="23" t="e">
        <f t="shared" si="7"/>
        <v>#VALUE!</v>
      </c>
      <c r="Z30" s="23" t="e">
        <f t="shared" si="8"/>
        <v>#VALUE!</v>
      </c>
      <c r="AA30" s="5" t="str">
        <f>IF(A30&lt;&gt;"",Inputs!$C$57,"")</f>
        <v/>
      </c>
      <c r="AB30" s="6" t="e">
        <f t="shared" si="9"/>
        <v>#VALUE!</v>
      </c>
      <c r="AC30" s="6"/>
      <c r="AD30" s="23"/>
      <c r="AE30" s="23">
        <f>IF(AND(J30&gt;0,AC30&gt;0),J30*AC30*Inputs!$C$71,0)</f>
        <v>0</v>
      </c>
      <c r="AF30" s="23">
        <f>IF(AND(J30&gt;0,AD30&gt;0),J30*AD30*Inputs!$C$72,0)</f>
        <v>0</v>
      </c>
      <c r="AG30" s="23" t="e">
        <f t="shared" si="10"/>
        <v>#VALUE!</v>
      </c>
      <c r="AH30" s="23" t="e">
        <f t="shared" si="11"/>
        <v>#VALUE!</v>
      </c>
      <c r="AI30" s="23" t="e">
        <f t="shared" si="12"/>
        <v>#VALUE!</v>
      </c>
      <c r="AJ30" s="23" t="e">
        <f t="shared" si="13"/>
        <v>#VALUE!</v>
      </c>
    </row>
    <row r="31" spans="1:36" x14ac:dyDescent="0.2">
      <c r="A31" s="6"/>
      <c r="B31" s="6"/>
      <c r="C31" s="6"/>
      <c r="D31" s="6"/>
      <c r="E31" s="11"/>
      <c r="F31" s="11"/>
      <c r="G31" s="11"/>
      <c r="H31" s="11"/>
      <c r="I31" s="10" t="str">
        <f t="shared" si="0"/>
        <v/>
      </c>
      <c r="J31" s="10" t="str">
        <f t="shared" si="1"/>
        <v/>
      </c>
      <c r="K31" s="14" t="str">
        <f t="shared" si="2"/>
        <v/>
      </c>
      <c r="L31" s="10" t="str">
        <f>IF(C31="BC",'Mix Design'!$B$9,IF(C31="DBM",'Mix Design'!$C$9,""))</f>
        <v/>
      </c>
      <c r="M31" s="10" t="str">
        <f>IF(C31="BC",Inputs!$C$17,IF(C31="DBM",Inputs!$C$18,""))</f>
        <v/>
      </c>
      <c r="N31" s="10" t="e">
        <f t="shared" si="3"/>
        <v>#VALUE!</v>
      </c>
      <c r="O31" s="10" t="e">
        <f t="shared" si="4"/>
        <v>#VALUE!</v>
      </c>
      <c r="P31" s="10" t="e">
        <f t="shared" si="5"/>
        <v>#VALUE!</v>
      </c>
      <c r="Q31" s="23" t="e">
        <f>IF(AND(P31&gt;0,Inputs!$C$6&gt;0),P31/Inputs!$C$6*Inputs!$C$7,"")</f>
        <v>#VALUE!</v>
      </c>
      <c r="R31" s="23" t="str">
        <f>IF(C31="BC",'Rate Model'!$C$19,IF(C31="DBM",'Rate Model'!$E$19,""))</f>
        <v/>
      </c>
      <c r="S31" s="11" t="e">
        <f t="shared" si="6"/>
        <v>#VALUE!</v>
      </c>
      <c r="T31" s="11" t="str">
        <f>IF(A31&lt;&gt;"",Inputs!$C$47,"")</f>
        <v/>
      </c>
      <c r="U31" s="11" t="str">
        <f>IF(A31&lt;&gt;"",Inputs!$C$48,"")</f>
        <v/>
      </c>
      <c r="V31" s="11">
        <v>2</v>
      </c>
      <c r="W31" s="11" t="str">
        <f>IF(A31&lt;&gt;"",Inputs!$C$49,"")</f>
        <v/>
      </c>
      <c r="X31" s="23">
        <v>0</v>
      </c>
      <c r="Y31" s="23" t="e">
        <f t="shared" si="7"/>
        <v>#VALUE!</v>
      </c>
      <c r="Z31" s="23" t="e">
        <f t="shared" si="8"/>
        <v>#VALUE!</v>
      </c>
      <c r="AA31" s="5" t="str">
        <f>IF(A31&lt;&gt;"",Inputs!$C$57,"")</f>
        <v/>
      </c>
      <c r="AB31" s="6" t="e">
        <f t="shared" si="9"/>
        <v>#VALUE!</v>
      </c>
      <c r="AC31" s="6"/>
      <c r="AD31" s="23"/>
      <c r="AE31" s="23">
        <f>IF(AND(J31&gt;0,AC31&gt;0),J31*AC31*Inputs!$C$71,0)</f>
        <v>0</v>
      </c>
      <c r="AF31" s="23">
        <f>IF(AND(J31&gt;0,AD31&gt;0),J31*AD31*Inputs!$C$72,0)</f>
        <v>0</v>
      </c>
      <c r="AG31" s="23" t="e">
        <f t="shared" si="10"/>
        <v>#VALUE!</v>
      </c>
      <c r="AH31" s="23" t="e">
        <f t="shared" si="11"/>
        <v>#VALUE!</v>
      </c>
      <c r="AI31" s="23" t="e">
        <f t="shared" si="12"/>
        <v>#VALUE!</v>
      </c>
      <c r="AJ31" s="23" t="e">
        <f t="shared" si="13"/>
        <v>#VALUE!</v>
      </c>
    </row>
    <row r="32" spans="1:36" x14ac:dyDescent="0.2">
      <c r="A32" s="6"/>
      <c r="B32" s="6"/>
      <c r="C32" s="6"/>
      <c r="D32" s="6"/>
      <c r="E32" s="11"/>
      <c r="F32" s="11"/>
      <c r="G32" s="11"/>
      <c r="H32" s="11"/>
      <c r="I32" s="10" t="str">
        <f t="shared" si="0"/>
        <v/>
      </c>
      <c r="J32" s="10" t="str">
        <f t="shared" si="1"/>
        <v/>
      </c>
      <c r="K32" s="14" t="str">
        <f t="shared" si="2"/>
        <v/>
      </c>
      <c r="L32" s="10" t="str">
        <f>IF(C32="BC",'Mix Design'!$B$9,IF(C32="DBM",'Mix Design'!$C$9,""))</f>
        <v/>
      </c>
      <c r="M32" s="10" t="str">
        <f>IF(C32="BC",Inputs!$C$17,IF(C32="DBM",Inputs!$C$18,""))</f>
        <v/>
      </c>
      <c r="N32" s="10" t="e">
        <f t="shared" si="3"/>
        <v>#VALUE!</v>
      </c>
      <c r="O32" s="10" t="e">
        <f t="shared" si="4"/>
        <v>#VALUE!</v>
      </c>
      <c r="P32" s="10" t="e">
        <f t="shared" si="5"/>
        <v>#VALUE!</v>
      </c>
      <c r="Q32" s="23" t="e">
        <f>IF(AND(P32&gt;0,Inputs!$C$6&gt;0),P32/Inputs!$C$6*Inputs!$C$7,"")</f>
        <v>#VALUE!</v>
      </c>
      <c r="R32" s="23" t="str">
        <f>IF(C32="BC",'Rate Model'!$C$19,IF(C32="DBM",'Rate Model'!$E$19,""))</f>
        <v/>
      </c>
      <c r="S32" s="11" t="e">
        <f t="shared" si="6"/>
        <v>#VALUE!</v>
      </c>
      <c r="T32" s="11" t="str">
        <f>IF(A32&lt;&gt;"",Inputs!$C$47,"")</f>
        <v/>
      </c>
      <c r="U32" s="11" t="str">
        <f>IF(A32&lt;&gt;"",Inputs!$C$48,"")</f>
        <v/>
      </c>
      <c r="V32" s="11">
        <v>2</v>
      </c>
      <c r="W32" s="11" t="str">
        <f>IF(A32&lt;&gt;"",Inputs!$C$49,"")</f>
        <v/>
      </c>
      <c r="X32" s="23">
        <v>0</v>
      </c>
      <c r="Y32" s="23" t="e">
        <f t="shared" si="7"/>
        <v>#VALUE!</v>
      </c>
      <c r="Z32" s="23" t="e">
        <f t="shared" si="8"/>
        <v>#VALUE!</v>
      </c>
      <c r="AA32" s="5" t="str">
        <f>IF(A32&lt;&gt;"",Inputs!$C$57,"")</f>
        <v/>
      </c>
      <c r="AB32" s="6" t="e">
        <f t="shared" si="9"/>
        <v>#VALUE!</v>
      </c>
      <c r="AC32" s="6"/>
      <c r="AD32" s="23"/>
      <c r="AE32" s="23">
        <f>IF(AND(J32&gt;0,AC32&gt;0),J32*AC32*Inputs!$C$71,0)</f>
        <v>0</v>
      </c>
      <c r="AF32" s="23">
        <f>IF(AND(J32&gt;0,AD32&gt;0),J32*AD32*Inputs!$C$72,0)</f>
        <v>0</v>
      </c>
      <c r="AG32" s="23" t="e">
        <f t="shared" si="10"/>
        <v>#VALUE!</v>
      </c>
      <c r="AH32" s="23" t="e">
        <f t="shared" si="11"/>
        <v>#VALUE!</v>
      </c>
      <c r="AI32" s="23" t="e">
        <f t="shared" si="12"/>
        <v>#VALUE!</v>
      </c>
      <c r="AJ32" s="23" t="e">
        <f t="shared" si="13"/>
        <v>#VALUE!</v>
      </c>
    </row>
    <row r="33" spans="1:36" x14ac:dyDescent="0.2">
      <c r="A33" s="6"/>
      <c r="B33" s="6"/>
      <c r="C33" s="6"/>
      <c r="D33" s="6"/>
      <c r="E33" s="11"/>
      <c r="F33" s="11"/>
      <c r="G33" s="11"/>
      <c r="H33" s="11"/>
      <c r="I33" s="10" t="str">
        <f t="shared" si="0"/>
        <v/>
      </c>
      <c r="J33" s="10" t="str">
        <f t="shared" si="1"/>
        <v/>
      </c>
      <c r="K33" s="14" t="str">
        <f t="shared" si="2"/>
        <v/>
      </c>
      <c r="L33" s="10" t="str">
        <f>IF(C33="BC",'Mix Design'!$B$9,IF(C33="DBM",'Mix Design'!$C$9,""))</f>
        <v/>
      </c>
      <c r="M33" s="10" t="str">
        <f>IF(C33="BC",Inputs!$C$17,IF(C33="DBM",Inputs!$C$18,""))</f>
        <v/>
      </c>
      <c r="N33" s="10" t="e">
        <f t="shared" si="3"/>
        <v>#VALUE!</v>
      </c>
      <c r="O33" s="10" t="e">
        <f t="shared" si="4"/>
        <v>#VALUE!</v>
      </c>
      <c r="P33" s="10" t="e">
        <f t="shared" si="5"/>
        <v>#VALUE!</v>
      </c>
      <c r="Q33" s="23" t="e">
        <f>IF(AND(P33&gt;0,Inputs!$C$6&gt;0),P33/Inputs!$C$6*Inputs!$C$7,"")</f>
        <v>#VALUE!</v>
      </c>
      <c r="R33" s="23" t="str">
        <f>IF(C33="BC",'Rate Model'!$C$19,IF(C33="DBM",'Rate Model'!$E$19,""))</f>
        <v/>
      </c>
      <c r="S33" s="11" t="e">
        <f t="shared" si="6"/>
        <v>#VALUE!</v>
      </c>
      <c r="T33" s="11" t="str">
        <f>IF(A33&lt;&gt;"",Inputs!$C$47,"")</f>
        <v/>
      </c>
      <c r="U33" s="11" t="str">
        <f>IF(A33&lt;&gt;"",Inputs!$C$48,"")</f>
        <v/>
      </c>
      <c r="V33" s="11">
        <v>2</v>
      </c>
      <c r="W33" s="11" t="str">
        <f>IF(A33&lt;&gt;"",Inputs!$C$49,"")</f>
        <v/>
      </c>
      <c r="X33" s="23">
        <v>0</v>
      </c>
      <c r="Y33" s="23" t="e">
        <f t="shared" si="7"/>
        <v>#VALUE!</v>
      </c>
      <c r="Z33" s="23" t="e">
        <f t="shared" si="8"/>
        <v>#VALUE!</v>
      </c>
      <c r="AA33" s="5" t="str">
        <f>IF(A33&lt;&gt;"",Inputs!$C$57,"")</f>
        <v/>
      </c>
      <c r="AB33" s="6" t="e">
        <f t="shared" si="9"/>
        <v>#VALUE!</v>
      </c>
      <c r="AC33" s="6"/>
      <c r="AD33" s="23"/>
      <c r="AE33" s="23">
        <f>IF(AND(J33&gt;0,AC33&gt;0),J33*AC33*Inputs!$C$71,0)</f>
        <v>0</v>
      </c>
      <c r="AF33" s="23">
        <f>IF(AND(J33&gt;0,AD33&gt;0),J33*AD33*Inputs!$C$72,0)</f>
        <v>0</v>
      </c>
      <c r="AG33" s="23" t="e">
        <f t="shared" si="10"/>
        <v>#VALUE!</v>
      </c>
      <c r="AH33" s="23" t="e">
        <f t="shared" si="11"/>
        <v>#VALUE!</v>
      </c>
      <c r="AI33" s="23" t="e">
        <f t="shared" si="12"/>
        <v>#VALUE!</v>
      </c>
      <c r="AJ33" s="23" t="e">
        <f t="shared" si="13"/>
        <v>#VALUE!</v>
      </c>
    </row>
    <row r="34" spans="1:36" x14ac:dyDescent="0.2">
      <c r="A34" s="6"/>
      <c r="B34" s="6"/>
      <c r="C34" s="6"/>
      <c r="D34" s="6"/>
      <c r="E34" s="11"/>
      <c r="F34" s="11"/>
      <c r="G34" s="11"/>
      <c r="H34" s="11"/>
      <c r="I34" s="10" t="str">
        <f t="shared" si="0"/>
        <v/>
      </c>
      <c r="J34" s="10" t="str">
        <f t="shared" si="1"/>
        <v/>
      </c>
      <c r="K34" s="14" t="str">
        <f t="shared" si="2"/>
        <v/>
      </c>
      <c r="L34" s="10" t="str">
        <f>IF(C34="BC",'Mix Design'!$B$9,IF(C34="DBM",'Mix Design'!$C$9,""))</f>
        <v/>
      </c>
      <c r="M34" s="10" t="str">
        <f>IF(C34="BC",Inputs!$C$17,IF(C34="DBM",Inputs!$C$18,""))</f>
        <v/>
      </c>
      <c r="N34" s="10" t="e">
        <f t="shared" si="3"/>
        <v>#VALUE!</v>
      </c>
      <c r="O34" s="10" t="e">
        <f t="shared" si="4"/>
        <v>#VALUE!</v>
      </c>
      <c r="P34" s="10" t="e">
        <f t="shared" si="5"/>
        <v>#VALUE!</v>
      </c>
      <c r="Q34" s="23" t="e">
        <f>IF(AND(P34&gt;0,Inputs!$C$6&gt;0),P34/Inputs!$C$6*Inputs!$C$7,"")</f>
        <v>#VALUE!</v>
      </c>
      <c r="R34" s="23" t="str">
        <f>IF(C34="BC",'Rate Model'!$C$19,IF(C34="DBM",'Rate Model'!$E$19,""))</f>
        <v/>
      </c>
      <c r="S34" s="11" t="e">
        <f t="shared" si="6"/>
        <v>#VALUE!</v>
      </c>
      <c r="T34" s="11" t="str">
        <f>IF(A34&lt;&gt;"",Inputs!$C$47,"")</f>
        <v/>
      </c>
      <c r="U34" s="11" t="str">
        <f>IF(A34&lt;&gt;"",Inputs!$C$48,"")</f>
        <v/>
      </c>
      <c r="V34" s="11">
        <v>2</v>
      </c>
      <c r="W34" s="11" t="str">
        <f>IF(A34&lt;&gt;"",Inputs!$C$49,"")</f>
        <v/>
      </c>
      <c r="X34" s="23">
        <v>0</v>
      </c>
      <c r="Y34" s="23" t="e">
        <f t="shared" si="7"/>
        <v>#VALUE!</v>
      </c>
      <c r="Z34" s="23" t="e">
        <f t="shared" si="8"/>
        <v>#VALUE!</v>
      </c>
      <c r="AA34" s="5" t="str">
        <f>IF(A34&lt;&gt;"",Inputs!$C$57,"")</f>
        <v/>
      </c>
      <c r="AB34" s="6" t="e">
        <f t="shared" si="9"/>
        <v>#VALUE!</v>
      </c>
      <c r="AC34" s="6"/>
      <c r="AD34" s="23"/>
      <c r="AE34" s="23">
        <f>IF(AND(J34&gt;0,AC34&gt;0),J34*AC34*Inputs!$C$71,0)</f>
        <v>0</v>
      </c>
      <c r="AF34" s="23">
        <f>IF(AND(J34&gt;0,AD34&gt;0),J34*AD34*Inputs!$C$72,0)</f>
        <v>0</v>
      </c>
      <c r="AG34" s="23" t="e">
        <f t="shared" si="10"/>
        <v>#VALUE!</v>
      </c>
      <c r="AH34" s="23" t="e">
        <f t="shared" si="11"/>
        <v>#VALUE!</v>
      </c>
      <c r="AI34" s="23" t="e">
        <f t="shared" si="12"/>
        <v>#VALUE!</v>
      </c>
      <c r="AJ34" s="23" t="e">
        <f t="shared" si="13"/>
        <v>#VALUE!</v>
      </c>
    </row>
    <row r="35" spans="1:36" x14ac:dyDescent="0.2">
      <c r="A35" s="6"/>
      <c r="B35" s="6"/>
      <c r="C35" s="6"/>
      <c r="D35" s="6"/>
      <c r="E35" s="11"/>
      <c r="F35" s="11"/>
      <c r="G35" s="11"/>
      <c r="H35" s="11"/>
      <c r="I35" s="10" t="str">
        <f t="shared" si="0"/>
        <v/>
      </c>
      <c r="J35" s="10" t="str">
        <f t="shared" si="1"/>
        <v/>
      </c>
      <c r="K35" s="14" t="str">
        <f t="shared" si="2"/>
        <v/>
      </c>
      <c r="L35" s="10" t="str">
        <f>IF(C35="BC",'Mix Design'!$B$9,IF(C35="DBM",'Mix Design'!$C$9,""))</f>
        <v/>
      </c>
      <c r="M35" s="10" t="str">
        <f>IF(C35="BC",Inputs!$C$17,IF(C35="DBM",Inputs!$C$18,""))</f>
        <v/>
      </c>
      <c r="N35" s="10" t="e">
        <f t="shared" si="3"/>
        <v>#VALUE!</v>
      </c>
      <c r="O35" s="10" t="e">
        <f t="shared" si="4"/>
        <v>#VALUE!</v>
      </c>
      <c r="P35" s="10" t="e">
        <f t="shared" si="5"/>
        <v>#VALUE!</v>
      </c>
      <c r="Q35" s="23" t="e">
        <f>IF(AND(P35&gt;0,Inputs!$C$6&gt;0),P35/Inputs!$C$6*Inputs!$C$7,"")</f>
        <v>#VALUE!</v>
      </c>
      <c r="R35" s="23" t="str">
        <f>IF(C35="BC",'Rate Model'!$C$19,IF(C35="DBM",'Rate Model'!$E$19,""))</f>
        <v/>
      </c>
      <c r="S35" s="11" t="e">
        <f t="shared" si="6"/>
        <v>#VALUE!</v>
      </c>
      <c r="T35" s="11" t="str">
        <f>IF(A35&lt;&gt;"",Inputs!$C$47,"")</f>
        <v/>
      </c>
      <c r="U35" s="11" t="str">
        <f>IF(A35&lt;&gt;"",Inputs!$C$48,"")</f>
        <v/>
      </c>
      <c r="V35" s="11">
        <v>2</v>
      </c>
      <c r="W35" s="11" t="str">
        <f>IF(A35&lt;&gt;"",Inputs!$C$49,"")</f>
        <v/>
      </c>
      <c r="X35" s="23">
        <v>0</v>
      </c>
      <c r="Y35" s="23" t="e">
        <f t="shared" si="7"/>
        <v>#VALUE!</v>
      </c>
      <c r="Z35" s="23" t="e">
        <f t="shared" si="8"/>
        <v>#VALUE!</v>
      </c>
      <c r="AA35" s="5" t="str">
        <f>IF(A35&lt;&gt;"",Inputs!$C$57,"")</f>
        <v/>
      </c>
      <c r="AB35" s="6" t="e">
        <f t="shared" si="9"/>
        <v>#VALUE!</v>
      </c>
      <c r="AC35" s="6"/>
      <c r="AD35" s="23"/>
      <c r="AE35" s="23">
        <f>IF(AND(J35&gt;0,AC35&gt;0),J35*AC35*Inputs!$C$71,0)</f>
        <v>0</v>
      </c>
      <c r="AF35" s="23">
        <f>IF(AND(J35&gt;0,AD35&gt;0),J35*AD35*Inputs!$C$72,0)</f>
        <v>0</v>
      </c>
      <c r="AG35" s="23" t="e">
        <f t="shared" si="10"/>
        <v>#VALUE!</v>
      </c>
      <c r="AH35" s="23" t="e">
        <f t="shared" si="11"/>
        <v>#VALUE!</v>
      </c>
      <c r="AI35" s="23" t="e">
        <f t="shared" si="12"/>
        <v>#VALUE!</v>
      </c>
      <c r="AJ35" s="23" t="e">
        <f t="shared" si="13"/>
        <v>#VALUE!</v>
      </c>
    </row>
    <row r="36" spans="1:36" x14ac:dyDescent="0.2">
      <c r="A36" s="6"/>
      <c r="B36" s="6"/>
      <c r="C36" s="6"/>
      <c r="D36" s="6"/>
      <c r="E36" s="11"/>
      <c r="F36" s="11"/>
      <c r="G36" s="11"/>
      <c r="H36" s="11"/>
      <c r="I36" s="10" t="str">
        <f t="shared" ref="I36:I67" si="14">IF(D36="GEOMETRY",IF(AND(E36&gt;0,F36&gt;0,G36&gt;0),E36*F36*(G36/1000),""),IF(AND(H36&gt;0,G36&gt;0),H36,""))</f>
        <v/>
      </c>
      <c r="J36" s="10" t="str">
        <f t="shared" ref="J36:J67" si="15">IF(AND(I36&gt;0,G36&gt;0),I36/(G36/1000),"")</f>
        <v/>
      </c>
      <c r="K36" s="14" t="str">
        <f t="shared" ref="K36:K67" si="16">IF(AND(J36&gt;0,F36&gt;0),J36/F36,"")</f>
        <v/>
      </c>
      <c r="L36" s="10" t="str">
        <f>IF(C36="BC",'Mix Design'!$B$9,IF(C36="DBM",'Mix Design'!$C$9,""))</f>
        <v/>
      </c>
      <c r="M36" s="10" t="str">
        <f>IF(C36="BC",Inputs!$C$17,IF(C36="DBM",Inputs!$C$18,""))</f>
        <v/>
      </c>
      <c r="N36" s="10" t="e">
        <f t="shared" ref="N36:N67" si="17">IF(AND(I36&gt;0,M36&gt;0),I36*M36,"")</f>
        <v>#VALUE!</v>
      </c>
      <c r="O36" s="10" t="e">
        <f t="shared" ref="O36:O67" si="18">IF(AND(N36&gt;0,L36&gt;0),N36*L36,"")</f>
        <v>#VALUE!</v>
      </c>
      <c r="P36" s="10" t="e">
        <f t="shared" ref="P36:P67" si="19">IF(AND(N36&gt;0,O36&gt;0),N36-O36,"")</f>
        <v>#VALUE!</v>
      </c>
      <c r="Q36" s="23" t="e">
        <f>IF(AND(P36&gt;0,Inputs!$C$6&gt;0),P36/Inputs!$C$6*Inputs!$C$7,"")</f>
        <v>#VALUE!</v>
      </c>
      <c r="R36" s="23" t="str">
        <f>IF(C36="BC",'Rate Model'!$C$19,IF(C36="DBM",'Rate Model'!$E$19,""))</f>
        <v/>
      </c>
      <c r="S36" s="11" t="e">
        <f t="shared" ref="S36:S67" si="20">IF(AND(N36&gt;0,R36&gt;0),N36*R36,"")</f>
        <v>#VALUE!</v>
      </c>
      <c r="T36" s="11" t="str">
        <f>IF(A36&lt;&gt;"",Inputs!$C$47,"")</f>
        <v/>
      </c>
      <c r="U36" s="11" t="str">
        <f>IF(A36&lt;&gt;"",Inputs!$C$48,"")</f>
        <v/>
      </c>
      <c r="V36" s="11">
        <v>2</v>
      </c>
      <c r="W36" s="11" t="str">
        <f>IF(A36&lt;&gt;"",Inputs!$C$49,"")</f>
        <v/>
      </c>
      <c r="X36" s="23">
        <v>0</v>
      </c>
      <c r="Y36" s="23" t="e">
        <f t="shared" ref="Y36:Y67" si="21">IF(AND(T36&gt;0,U36&gt;0,V36&gt;0,W36&gt;0),((T36*U36*V36)+X36)/W36,"")</f>
        <v>#VALUE!</v>
      </c>
      <c r="Z36" s="23" t="e">
        <f t="shared" ref="Z36:Z67" si="22">IF(AND(N36&gt;0,Y36&gt;0),N36*Y36,"")</f>
        <v>#VALUE!</v>
      </c>
      <c r="AA36" s="5" t="str">
        <f>IF(A36&lt;&gt;"",Inputs!$C$57,"")</f>
        <v/>
      </c>
      <c r="AB36" s="6" t="e">
        <f t="shared" ref="AB36:AB67" si="23">IF(AND(N36&gt;0,AA36&gt;0),N36*AA36,"")</f>
        <v>#VALUE!</v>
      </c>
      <c r="AC36" s="6"/>
      <c r="AD36" s="23"/>
      <c r="AE36" s="23">
        <f>IF(AND(J36&gt;0,AC36&gt;0),J36*AC36*Inputs!$C$71,0)</f>
        <v>0</v>
      </c>
      <c r="AF36" s="23">
        <f>IF(AND(J36&gt;0,AD36&gt;0),J36*AD36*Inputs!$C$72,0)</f>
        <v>0</v>
      </c>
      <c r="AG36" s="23" t="e">
        <f t="shared" ref="AG36:AG67" si="24">SUM(S36,Z36,AB36,AE36,AF36)</f>
        <v>#VALUE!</v>
      </c>
      <c r="AH36" s="23" t="e">
        <f t="shared" ref="AH36:AH67" si="25">IF(AND(N36&gt;0,AG36&gt;0),AG36/N36,"")</f>
        <v>#VALUE!</v>
      </c>
      <c r="AI36" s="23" t="e">
        <f t="shared" ref="AI36:AI67" si="26">IF(AND(I36&gt;0,AG36&gt;0),AG36/I36,"")</f>
        <v>#VALUE!</v>
      </c>
      <c r="AJ36" s="23" t="e">
        <f t="shared" ref="AJ36:AJ67" si="27">IF(AND(J36&gt;0,AG36&gt;0),AG36/J36,"")</f>
        <v>#VALUE!</v>
      </c>
    </row>
    <row r="37" spans="1:36" x14ac:dyDescent="0.2">
      <c r="A37" s="6"/>
      <c r="B37" s="6"/>
      <c r="C37" s="6"/>
      <c r="D37" s="6"/>
      <c r="E37" s="11"/>
      <c r="F37" s="11"/>
      <c r="G37" s="11"/>
      <c r="H37" s="11"/>
      <c r="I37" s="10" t="str">
        <f t="shared" si="14"/>
        <v/>
      </c>
      <c r="J37" s="10" t="str">
        <f t="shared" si="15"/>
        <v/>
      </c>
      <c r="K37" s="14" t="str">
        <f t="shared" si="16"/>
        <v/>
      </c>
      <c r="L37" s="10" t="str">
        <f>IF(C37="BC",'Mix Design'!$B$9,IF(C37="DBM",'Mix Design'!$C$9,""))</f>
        <v/>
      </c>
      <c r="M37" s="10" t="str">
        <f>IF(C37="BC",Inputs!$C$17,IF(C37="DBM",Inputs!$C$18,""))</f>
        <v/>
      </c>
      <c r="N37" s="10" t="e">
        <f t="shared" si="17"/>
        <v>#VALUE!</v>
      </c>
      <c r="O37" s="10" t="e">
        <f t="shared" si="18"/>
        <v>#VALUE!</v>
      </c>
      <c r="P37" s="10" t="e">
        <f t="shared" si="19"/>
        <v>#VALUE!</v>
      </c>
      <c r="Q37" s="23" t="e">
        <f>IF(AND(P37&gt;0,Inputs!$C$6&gt;0),P37/Inputs!$C$6*Inputs!$C$7,"")</f>
        <v>#VALUE!</v>
      </c>
      <c r="R37" s="23" t="str">
        <f>IF(C37="BC",'Rate Model'!$C$19,IF(C37="DBM",'Rate Model'!$E$19,""))</f>
        <v/>
      </c>
      <c r="S37" s="11" t="e">
        <f t="shared" si="20"/>
        <v>#VALUE!</v>
      </c>
      <c r="T37" s="11" t="str">
        <f>IF(A37&lt;&gt;"",Inputs!$C$47,"")</f>
        <v/>
      </c>
      <c r="U37" s="11" t="str">
        <f>IF(A37&lt;&gt;"",Inputs!$C$48,"")</f>
        <v/>
      </c>
      <c r="V37" s="11">
        <v>2</v>
      </c>
      <c r="W37" s="11" t="str">
        <f>IF(A37&lt;&gt;"",Inputs!$C$49,"")</f>
        <v/>
      </c>
      <c r="X37" s="23">
        <v>0</v>
      </c>
      <c r="Y37" s="23" t="e">
        <f t="shared" si="21"/>
        <v>#VALUE!</v>
      </c>
      <c r="Z37" s="23" t="e">
        <f t="shared" si="22"/>
        <v>#VALUE!</v>
      </c>
      <c r="AA37" s="5" t="str">
        <f>IF(A37&lt;&gt;"",Inputs!$C$57,"")</f>
        <v/>
      </c>
      <c r="AB37" s="6" t="e">
        <f t="shared" si="23"/>
        <v>#VALUE!</v>
      </c>
      <c r="AC37" s="6"/>
      <c r="AD37" s="23"/>
      <c r="AE37" s="23">
        <f>IF(AND(J37&gt;0,AC37&gt;0),J37*AC37*Inputs!$C$71,0)</f>
        <v>0</v>
      </c>
      <c r="AF37" s="23">
        <f>IF(AND(J37&gt;0,AD37&gt;0),J37*AD37*Inputs!$C$72,0)</f>
        <v>0</v>
      </c>
      <c r="AG37" s="23" t="e">
        <f t="shared" si="24"/>
        <v>#VALUE!</v>
      </c>
      <c r="AH37" s="23" t="e">
        <f t="shared" si="25"/>
        <v>#VALUE!</v>
      </c>
      <c r="AI37" s="23" t="e">
        <f t="shared" si="26"/>
        <v>#VALUE!</v>
      </c>
      <c r="AJ37" s="23" t="e">
        <f t="shared" si="27"/>
        <v>#VALUE!</v>
      </c>
    </row>
    <row r="38" spans="1:36" x14ac:dyDescent="0.2">
      <c r="A38" s="6"/>
      <c r="B38" s="6"/>
      <c r="C38" s="6"/>
      <c r="D38" s="6"/>
      <c r="E38" s="11"/>
      <c r="F38" s="11"/>
      <c r="G38" s="11"/>
      <c r="H38" s="11"/>
      <c r="I38" s="10" t="str">
        <f t="shared" si="14"/>
        <v/>
      </c>
      <c r="J38" s="10" t="str">
        <f t="shared" si="15"/>
        <v/>
      </c>
      <c r="K38" s="14" t="str">
        <f t="shared" si="16"/>
        <v/>
      </c>
      <c r="L38" s="10" t="str">
        <f>IF(C38="BC",'Mix Design'!$B$9,IF(C38="DBM",'Mix Design'!$C$9,""))</f>
        <v/>
      </c>
      <c r="M38" s="10" t="str">
        <f>IF(C38="BC",Inputs!$C$17,IF(C38="DBM",Inputs!$C$18,""))</f>
        <v/>
      </c>
      <c r="N38" s="10" t="e">
        <f t="shared" si="17"/>
        <v>#VALUE!</v>
      </c>
      <c r="O38" s="10" t="e">
        <f t="shared" si="18"/>
        <v>#VALUE!</v>
      </c>
      <c r="P38" s="10" t="e">
        <f t="shared" si="19"/>
        <v>#VALUE!</v>
      </c>
      <c r="Q38" s="23" t="e">
        <f>IF(AND(P38&gt;0,Inputs!$C$6&gt;0),P38/Inputs!$C$6*Inputs!$C$7,"")</f>
        <v>#VALUE!</v>
      </c>
      <c r="R38" s="23" t="str">
        <f>IF(C38="BC",'Rate Model'!$C$19,IF(C38="DBM",'Rate Model'!$E$19,""))</f>
        <v/>
      </c>
      <c r="S38" s="11" t="e">
        <f t="shared" si="20"/>
        <v>#VALUE!</v>
      </c>
      <c r="T38" s="11" t="str">
        <f>IF(A38&lt;&gt;"",Inputs!$C$47,"")</f>
        <v/>
      </c>
      <c r="U38" s="11" t="str">
        <f>IF(A38&lt;&gt;"",Inputs!$C$48,"")</f>
        <v/>
      </c>
      <c r="V38" s="11">
        <v>2</v>
      </c>
      <c r="W38" s="11" t="str">
        <f>IF(A38&lt;&gt;"",Inputs!$C$49,"")</f>
        <v/>
      </c>
      <c r="X38" s="23">
        <v>0</v>
      </c>
      <c r="Y38" s="23" t="e">
        <f t="shared" si="21"/>
        <v>#VALUE!</v>
      </c>
      <c r="Z38" s="23" t="e">
        <f t="shared" si="22"/>
        <v>#VALUE!</v>
      </c>
      <c r="AA38" s="5" t="str">
        <f>IF(A38&lt;&gt;"",Inputs!$C$57,"")</f>
        <v/>
      </c>
      <c r="AB38" s="6" t="e">
        <f t="shared" si="23"/>
        <v>#VALUE!</v>
      </c>
      <c r="AC38" s="6"/>
      <c r="AD38" s="23"/>
      <c r="AE38" s="23">
        <f>IF(AND(J38&gt;0,AC38&gt;0),J38*AC38*Inputs!$C$71,0)</f>
        <v>0</v>
      </c>
      <c r="AF38" s="23">
        <f>IF(AND(J38&gt;0,AD38&gt;0),J38*AD38*Inputs!$C$72,0)</f>
        <v>0</v>
      </c>
      <c r="AG38" s="23" t="e">
        <f t="shared" si="24"/>
        <v>#VALUE!</v>
      </c>
      <c r="AH38" s="23" t="e">
        <f t="shared" si="25"/>
        <v>#VALUE!</v>
      </c>
      <c r="AI38" s="23" t="e">
        <f t="shared" si="26"/>
        <v>#VALUE!</v>
      </c>
      <c r="AJ38" s="23" t="e">
        <f t="shared" si="27"/>
        <v>#VALUE!</v>
      </c>
    </row>
    <row r="39" spans="1:36" x14ac:dyDescent="0.2">
      <c r="A39" s="6"/>
      <c r="B39" s="6"/>
      <c r="C39" s="6"/>
      <c r="D39" s="6"/>
      <c r="E39" s="11"/>
      <c r="F39" s="11"/>
      <c r="G39" s="11"/>
      <c r="H39" s="11"/>
      <c r="I39" s="10" t="str">
        <f t="shared" si="14"/>
        <v/>
      </c>
      <c r="J39" s="10" t="str">
        <f t="shared" si="15"/>
        <v/>
      </c>
      <c r="K39" s="14" t="str">
        <f t="shared" si="16"/>
        <v/>
      </c>
      <c r="L39" s="10" t="str">
        <f>IF(C39="BC",'Mix Design'!$B$9,IF(C39="DBM",'Mix Design'!$C$9,""))</f>
        <v/>
      </c>
      <c r="M39" s="10" t="str">
        <f>IF(C39="BC",Inputs!$C$17,IF(C39="DBM",Inputs!$C$18,""))</f>
        <v/>
      </c>
      <c r="N39" s="10" t="e">
        <f t="shared" si="17"/>
        <v>#VALUE!</v>
      </c>
      <c r="O39" s="10" t="e">
        <f t="shared" si="18"/>
        <v>#VALUE!</v>
      </c>
      <c r="P39" s="10" t="e">
        <f t="shared" si="19"/>
        <v>#VALUE!</v>
      </c>
      <c r="Q39" s="23" t="e">
        <f>IF(AND(P39&gt;0,Inputs!$C$6&gt;0),P39/Inputs!$C$6*Inputs!$C$7,"")</f>
        <v>#VALUE!</v>
      </c>
      <c r="R39" s="23" t="str">
        <f>IF(C39="BC",'Rate Model'!$C$19,IF(C39="DBM",'Rate Model'!$E$19,""))</f>
        <v/>
      </c>
      <c r="S39" s="11" t="e">
        <f t="shared" si="20"/>
        <v>#VALUE!</v>
      </c>
      <c r="T39" s="11" t="str">
        <f>IF(A39&lt;&gt;"",Inputs!$C$47,"")</f>
        <v/>
      </c>
      <c r="U39" s="11" t="str">
        <f>IF(A39&lt;&gt;"",Inputs!$C$48,"")</f>
        <v/>
      </c>
      <c r="V39" s="11">
        <v>2</v>
      </c>
      <c r="W39" s="11" t="str">
        <f>IF(A39&lt;&gt;"",Inputs!$C$49,"")</f>
        <v/>
      </c>
      <c r="X39" s="23">
        <v>0</v>
      </c>
      <c r="Y39" s="23" t="e">
        <f t="shared" si="21"/>
        <v>#VALUE!</v>
      </c>
      <c r="Z39" s="23" t="e">
        <f t="shared" si="22"/>
        <v>#VALUE!</v>
      </c>
      <c r="AA39" s="5" t="str">
        <f>IF(A39&lt;&gt;"",Inputs!$C$57,"")</f>
        <v/>
      </c>
      <c r="AB39" s="6" t="e">
        <f t="shared" si="23"/>
        <v>#VALUE!</v>
      </c>
      <c r="AC39" s="6"/>
      <c r="AD39" s="23"/>
      <c r="AE39" s="23">
        <f>IF(AND(J39&gt;0,AC39&gt;0),J39*AC39*Inputs!$C$71,0)</f>
        <v>0</v>
      </c>
      <c r="AF39" s="23">
        <f>IF(AND(J39&gt;0,AD39&gt;0),J39*AD39*Inputs!$C$72,0)</f>
        <v>0</v>
      </c>
      <c r="AG39" s="23" t="e">
        <f t="shared" si="24"/>
        <v>#VALUE!</v>
      </c>
      <c r="AH39" s="23" t="e">
        <f t="shared" si="25"/>
        <v>#VALUE!</v>
      </c>
      <c r="AI39" s="23" t="e">
        <f t="shared" si="26"/>
        <v>#VALUE!</v>
      </c>
      <c r="AJ39" s="23" t="e">
        <f t="shared" si="27"/>
        <v>#VALUE!</v>
      </c>
    </row>
    <row r="40" spans="1:36" x14ac:dyDescent="0.2">
      <c r="A40" s="6"/>
      <c r="B40" s="6"/>
      <c r="C40" s="6"/>
      <c r="D40" s="6"/>
      <c r="E40" s="11"/>
      <c r="F40" s="11"/>
      <c r="G40" s="11"/>
      <c r="H40" s="11"/>
      <c r="I40" s="10" t="str">
        <f t="shared" si="14"/>
        <v/>
      </c>
      <c r="J40" s="10" t="str">
        <f t="shared" si="15"/>
        <v/>
      </c>
      <c r="K40" s="14" t="str">
        <f t="shared" si="16"/>
        <v/>
      </c>
      <c r="L40" s="10" t="str">
        <f>IF(C40="BC",'Mix Design'!$B$9,IF(C40="DBM",'Mix Design'!$C$9,""))</f>
        <v/>
      </c>
      <c r="M40" s="10" t="str">
        <f>IF(C40="BC",Inputs!$C$17,IF(C40="DBM",Inputs!$C$18,""))</f>
        <v/>
      </c>
      <c r="N40" s="10" t="e">
        <f t="shared" si="17"/>
        <v>#VALUE!</v>
      </c>
      <c r="O40" s="10" t="e">
        <f t="shared" si="18"/>
        <v>#VALUE!</v>
      </c>
      <c r="P40" s="10" t="e">
        <f t="shared" si="19"/>
        <v>#VALUE!</v>
      </c>
      <c r="Q40" s="23" t="e">
        <f>IF(AND(P40&gt;0,Inputs!$C$6&gt;0),P40/Inputs!$C$6*Inputs!$C$7,"")</f>
        <v>#VALUE!</v>
      </c>
      <c r="R40" s="23" t="str">
        <f>IF(C40="BC",'Rate Model'!$C$19,IF(C40="DBM",'Rate Model'!$E$19,""))</f>
        <v/>
      </c>
      <c r="S40" s="11" t="e">
        <f t="shared" si="20"/>
        <v>#VALUE!</v>
      </c>
      <c r="T40" s="11" t="str">
        <f>IF(A40&lt;&gt;"",Inputs!$C$47,"")</f>
        <v/>
      </c>
      <c r="U40" s="11" t="str">
        <f>IF(A40&lt;&gt;"",Inputs!$C$48,"")</f>
        <v/>
      </c>
      <c r="V40" s="11">
        <v>2</v>
      </c>
      <c r="W40" s="11" t="str">
        <f>IF(A40&lt;&gt;"",Inputs!$C$49,"")</f>
        <v/>
      </c>
      <c r="X40" s="23">
        <v>0</v>
      </c>
      <c r="Y40" s="23" t="e">
        <f t="shared" si="21"/>
        <v>#VALUE!</v>
      </c>
      <c r="Z40" s="23" t="e">
        <f t="shared" si="22"/>
        <v>#VALUE!</v>
      </c>
      <c r="AA40" s="5" t="str">
        <f>IF(A40&lt;&gt;"",Inputs!$C$57,"")</f>
        <v/>
      </c>
      <c r="AB40" s="6" t="e">
        <f t="shared" si="23"/>
        <v>#VALUE!</v>
      </c>
      <c r="AC40" s="6"/>
      <c r="AD40" s="23"/>
      <c r="AE40" s="23">
        <f>IF(AND(J40&gt;0,AC40&gt;0),J40*AC40*Inputs!$C$71,0)</f>
        <v>0</v>
      </c>
      <c r="AF40" s="23">
        <f>IF(AND(J40&gt;0,AD40&gt;0),J40*AD40*Inputs!$C$72,0)</f>
        <v>0</v>
      </c>
      <c r="AG40" s="23" t="e">
        <f t="shared" si="24"/>
        <v>#VALUE!</v>
      </c>
      <c r="AH40" s="23" t="e">
        <f t="shared" si="25"/>
        <v>#VALUE!</v>
      </c>
      <c r="AI40" s="23" t="e">
        <f t="shared" si="26"/>
        <v>#VALUE!</v>
      </c>
      <c r="AJ40" s="23" t="e">
        <f t="shared" si="27"/>
        <v>#VALUE!</v>
      </c>
    </row>
    <row r="41" spans="1:36" x14ac:dyDescent="0.2">
      <c r="A41" s="6"/>
      <c r="B41" s="6"/>
      <c r="C41" s="6"/>
      <c r="D41" s="6"/>
      <c r="E41" s="11"/>
      <c r="F41" s="11"/>
      <c r="G41" s="11"/>
      <c r="H41" s="11"/>
      <c r="I41" s="10" t="str">
        <f t="shared" si="14"/>
        <v/>
      </c>
      <c r="J41" s="10" t="str">
        <f t="shared" si="15"/>
        <v/>
      </c>
      <c r="K41" s="14" t="str">
        <f t="shared" si="16"/>
        <v/>
      </c>
      <c r="L41" s="10" t="str">
        <f>IF(C41="BC",'Mix Design'!$B$9,IF(C41="DBM",'Mix Design'!$C$9,""))</f>
        <v/>
      </c>
      <c r="M41" s="10" t="str">
        <f>IF(C41="BC",Inputs!$C$17,IF(C41="DBM",Inputs!$C$18,""))</f>
        <v/>
      </c>
      <c r="N41" s="10" t="e">
        <f t="shared" si="17"/>
        <v>#VALUE!</v>
      </c>
      <c r="O41" s="10" t="e">
        <f t="shared" si="18"/>
        <v>#VALUE!</v>
      </c>
      <c r="P41" s="10" t="e">
        <f t="shared" si="19"/>
        <v>#VALUE!</v>
      </c>
      <c r="Q41" s="23" t="e">
        <f>IF(AND(P41&gt;0,Inputs!$C$6&gt;0),P41/Inputs!$C$6*Inputs!$C$7,"")</f>
        <v>#VALUE!</v>
      </c>
      <c r="R41" s="23" t="str">
        <f>IF(C41="BC",'Rate Model'!$C$19,IF(C41="DBM",'Rate Model'!$E$19,""))</f>
        <v/>
      </c>
      <c r="S41" s="11" t="e">
        <f t="shared" si="20"/>
        <v>#VALUE!</v>
      </c>
      <c r="T41" s="11" t="str">
        <f>IF(A41&lt;&gt;"",Inputs!$C$47,"")</f>
        <v/>
      </c>
      <c r="U41" s="11" t="str">
        <f>IF(A41&lt;&gt;"",Inputs!$C$48,"")</f>
        <v/>
      </c>
      <c r="V41" s="11">
        <v>2</v>
      </c>
      <c r="W41" s="11" t="str">
        <f>IF(A41&lt;&gt;"",Inputs!$C$49,"")</f>
        <v/>
      </c>
      <c r="X41" s="23">
        <v>0</v>
      </c>
      <c r="Y41" s="23" t="e">
        <f t="shared" si="21"/>
        <v>#VALUE!</v>
      </c>
      <c r="Z41" s="23" t="e">
        <f t="shared" si="22"/>
        <v>#VALUE!</v>
      </c>
      <c r="AA41" s="5" t="str">
        <f>IF(A41&lt;&gt;"",Inputs!$C$57,"")</f>
        <v/>
      </c>
      <c r="AB41" s="6" t="e">
        <f t="shared" si="23"/>
        <v>#VALUE!</v>
      </c>
      <c r="AC41" s="6"/>
      <c r="AD41" s="23"/>
      <c r="AE41" s="23">
        <f>IF(AND(J41&gt;0,AC41&gt;0),J41*AC41*Inputs!$C$71,0)</f>
        <v>0</v>
      </c>
      <c r="AF41" s="23">
        <f>IF(AND(J41&gt;0,AD41&gt;0),J41*AD41*Inputs!$C$72,0)</f>
        <v>0</v>
      </c>
      <c r="AG41" s="23" t="e">
        <f t="shared" si="24"/>
        <v>#VALUE!</v>
      </c>
      <c r="AH41" s="23" t="e">
        <f t="shared" si="25"/>
        <v>#VALUE!</v>
      </c>
      <c r="AI41" s="23" t="e">
        <f t="shared" si="26"/>
        <v>#VALUE!</v>
      </c>
      <c r="AJ41" s="23" t="e">
        <f t="shared" si="27"/>
        <v>#VALUE!</v>
      </c>
    </row>
    <row r="42" spans="1:36" x14ac:dyDescent="0.2">
      <c r="A42" s="6"/>
      <c r="B42" s="6"/>
      <c r="C42" s="6"/>
      <c r="D42" s="6"/>
      <c r="E42" s="11"/>
      <c r="F42" s="11"/>
      <c r="G42" s="11"/>
      <c r="H42" s="11"/>
      <c r="I42" s="10" t="str">
        <f t="shared" si="14"/>
        <v/>
      </c>
      <c r="J42" s="10" t="str">
        <f t="shared" si="15"/>
        <v/>
      </c>
      <c r="K42" s="14" t="str">
        <f t="shared" si="16"/>
        <v/>
      </c>
      <c r="L42" s="10" t="str">
        <f>IF(C42="BC",'Mix Design'!$B$9,IF(C42="DBM",'Mix Design'!$C$9,""))</f>
        <v/>
      </c>
      <c r="M42" s="10" t="str">
        <f>IF(C42="BC",Inputs!$C$17,IF(C42="DBM",Inputs!$C$18,""))</f>
        <v/>
      </c>
      <c r="N42" s="10" t="e">
        <f t="shared" si="17"/>
        <v>#VALUE!</v>
      </c>
      <c r="O42" s="10" t="e">
        <f t="shared" si="18"/>
        <v>#VALUE!</v>
      </c>
      <c r="P42" s="10" t="e">
        <f t="shared" si="19"/>
        <v>#VALUE!</v>
      </c>
      <c r="Q42" s="23" t="e">
        <f>IF(AND(P42&gt;0,Inputs!$C$6&gt;0),P42/Inputs!$C$6*Inputs!$C$7,"")</f>
        <v>#VALUE!</v>
      </c>
      <c r="R42" s="23" t="str">
        <f>IF(C42="BC",'Rate Model'!$C$19,IF(C42="DBM",'Rate Model'!$E$19,""))</f>
        <v/>
      </c>
      <c r="S42" s="11" t="e">
        <f t="shared" si="20"/>
        <v>#VALUE!</v>
      </c>
      <c r="T42" s="11" t="str">
        <f>IF(A42&lt;&gt;"",Inputs!$C$47,"")</f>
        <v/>
      </c>
      <c r="U42" s="11" t="str">
        <f>IF(A42&lt;&gt;"",Inputs!$C$48,"")</f>
        <v/>
      </c>
      <c r="V42" s="11">
        <v>2</v>
      </c>
      <c r="W42" s="11" t="str">
        <f>IF(A42&lt;&gt;"",Inputs!$C$49,"")</f>
        <v/>
      </c>
      <c r="X42" s="23">
        <v>0</v>
      </c>
      <c r="Y42" s="23" t="e">
        <f t="shared" si="21"/>
        <v>#VALUE!</v>
      </c>
      <c r="Z42" s="23" t="e">
        <f t="shared" si="22"/>
        <v>#VALUE!</v>
      </c>
      <c r="AA42" s="5" t="str">
        <f>IF(A42&lt;&gt;"",Inputs!$C$57,"")</f>
        <v/>
      </c>
      <c r="AB42" s="6" t="e">
        <f t="shared" si="23"/>
        <v>#VALUE!</v>
      </c>
      <c r="AC42" s="6"/>
      <c r="AD42" s="23"/>
      <c r="AE42" s="23">
        <f>IF(AND(J42&gt;0,AC42&gt;0),J42*AC42*Inputs!$C$71,0)</f>
        <v>0</v>
      </c>
      <c r="AF42" s="23">
        <f>IF(AND(J42&gt;0,AD42&gt;0),J42*AD42*Inputs!$C$72,0)</f>
        <v>0</v>
      </c>
      <c r="AG42" s="23" t="e">
        <f t="shared" si="24"/>
        <v>#VALUE!</v>
      </c>
      <c r="AH42" s="23" t="e">
        <f t="shared" si="25"/>
        <v>#VALUE!</v>
      </c>
      <c r="AI42" s="23" t="e">
        <f t="shared" si="26"/>
        <v>#VALUE!</v>
      </c>
      <c r="AJ42" s="23" t="e">
        <f t="shared" si="27"/>
        <v>#VALUE!</v>
      </c>
    </row>
    <row r="43" spans="1:36" x14ac:dyDescent="0.2">
      <c r="A43" s="6"/>
      <c r="B43" s="6"/>
      <c r="C43" s="6"/>
      <c r="D43" s="6"/>
      <c r="E43" s="11"/>
      <c r="F43" s="11"/>
      <c r="G43" s="11"/>
      <c r="H43" s="11"/>
      <c r="I43" s="10" t="str">
        <f t="shared" si="14"/>
        <v/>
      </c>
      <c r="J43" s="10" t="str">
        <f t="shared" si="15"/>
        <v/>
      </c>
      <c r="K43" s="14" t="str">
        <f t="shared" si="16"/>
        <v/>
      </c>
      <c r="L43" s="10" t="str">
        <f>IF(C43="BC",'Mix Design'!$B$9,IF(C43="DBM",'Mix Design'!$C$9,""))</f>
        <v/>
      </c>
      <c r="M43" s="10" t="str">
        <f>IF(C43="BC",Inputs!$C$17,IF(C43="DBM",Inputs!$C$18,""))</f>
        <v/>
      </c>
      <c r="N43" s="10" t="e">
        <f t="shared" si="17"/>
        <v>#VALUE!</v>
      </c>
      <c r="O43" s="10" t="e">
        <f t="shared" si="18"/>
        <v>#VALUE!</v>
      </c>
      <c r="P43" s="10" t="e">
        <f t="shared" si="19"/>
        <v>#VALUE!</v>
      </c>
      <c r="Q43" s="23" t="e">
        <f>IF(AND(P43&gt;0,Inputs!$C$6&gt;0),P43/Inputs!$C$6*Inputs!$C$7,"")</f>
        <v>#VALUE!</v>
      </c>
      <c r="R43" s="23" t="str">
        <f>IF(C43="BC",'Rate Model'!$C$19,IF(C43="DBM",'Rate Model'!$E$19,""))</f>
        <v/>
      </c>
      <c r="S43" s="11" t="e">
        <f t="shared" si="20"/>
        <v>#VALUE!</v>
      </c>
      <c r="T43" s="11" t="str">
        <f>IF(A43&lt;&gt;"",Inputs!$C$47,"")</f>
        <v/>
      </c>
      <c r="U43" s="11" t="str">
        <f>IF(A43&lt;&gt;"",Inputs!$C$48,"")</f>
        <v/>
      </c>
      <c r="V43" s="11">
        <v>2</v>
      </c>
      <c r="W43" s="11" t="str">
        <f>IF(A43&lt;&gt;"",Inputs!$C$49,"")</f>
        <v/>
      </c>
      <c r="X43" s="23">
        <v>0</v>
      </c>
      <c r="Y43" s="23" t="e">
        <f t="shared" si="21"/>
        <v>#VALUE!</v>
      </c>
      <c r="Z43" s="23" t="e">
        <f t="shared" si="22"/>
        <v>#VALUE!</v>
      </c>
      <c r="AA43" s="5" t="str">
        <f>IF(A43&lt;&gt;"",Inputs!$C$57,"")</f>
        <v/>
      </c>
      <c r="AB43" s="6" t="e">
        <f t="shared" si="23"/>
        <v>#VALUE!</v>
      </c>
      <c r="AC43" s="6"/>
      <c r="AD43" s="23"/>
      <c r="AE43" s="23">
        <f>IF(AND(J43&gt;0,AC43&gt;0),J43*AC43*Inputs!$C$71,0)</f>
        <v>0</v>
      </c>
      <c r="AF43" s="23">
        <f>IF(AND(J43&gt;0,AD43&gt;0),J43*AD43*Inputs!$C$72,0)</f>
        <v>0</v>
      </c>
      <c r="AG43" s="23" t="e">
        <f t="shared" si="24"/>
        <v>#VALUE!</v>
      </c>
      <c r="AH43" s="23" t="e">
        <f t="shared" si="25"/>
        <v>#VALUE!</v>
      </c>
      <c r="AI43" s="23" t="e">
        <f t="shared" si="26"/>
        <v>#VALUE!</v>
      </c>
      <c r="AJ43" s="23" t="e">
        <f t="shared" si="27"/>
        <v>#VALUE!</v>
      </c>
    </row>
    <row r="44" spans="1:36" x14ac:dyDescent="0.2">
      <c r="A44" s="6"/>
      <c r="B44" s="6"/>
      <c r="C44" s="6"/>
      <c r="D44" s="6"/>
      <c r="E44" s="11"/>
      <c r="F44" s="11"/>
      <c r="G44" s="11"/>
      <c r="H44" s="11"/>
      <c r="I44" s="10" t="str">
        <f t="shared" si="14"/>
        <v/>
      </c>
      <c r="J44" s="10" t="str">
        <f t="shared" si="15"/>
        <v/>
      </c>
      <c r="K44" s="14" t="str">
        <f t="shared" si="16"/>
        <v/>
      </c>
      <c r="L44" s="10" t="str">
        <f>IF(C44="BC",'Mix Design'!$B$9,IF(C44="DBM",'Mix Design'!$C$9,""))</f>
        <v/>
      </c>
      <c r="M44" s="10" t="str">
        <f>IF(C44="BC",Inputs!$C$17,IF(C44="DBM",Inputs!$C$18,""))</f>
        <v/>
      </c>
      <c r="N44" s="10" t="e">
        <f t="shared" si="17"/>
        <v>#VALUE!</v>
      </c>
      <c r="O44" s="10" t="e">
        <f t="shared" si="18"/>
        <v>#VALUE!</v>
      </c>
      <c r="P44" s="10" t="e">
        <f t="shared" si="19"/>
        <v>#VALUE!</v>
      </c>
      <c r="Q44" s="23" t="e">
        <f>IF(AND(P44&gt;0,Inputs!$C$6&gt;0),P44/Inputs!$C$6*Inputs!$C$7,"")</f>
        <v>#VALUE!</v>
      </c>
      <c r="R44" s="23" t="str">
        <f>IF(C44="BC",'Rate Model'!$C$19,IF(C44="DBM",'Rate Model'!$E$19,""))</f>
        <v/>
      </c>
      <c r="S44" s="11" t="e">
        <f t="shared" si="20"/>
        <v>#VALUE!</v>
      </c>
      <c r="T44" s="11" t="str">
        <f>IF(A44&lt;&gt;"",Inputs!$C$47,"")</f>
        <v/>
      </c>
      <c r="U44" s="11" t="str">
        <f>IF(A44&lt;&gt;"",Inputs!$C$48,"")</f>
        <v/>
      </c>
      <c r="V44" s="11">
        <v>2</v>
      </c>
      <c r="W44" s="11" t="str">
        <f>IF(A44&lt;&gt;"",Inputs!$C$49,"")</f>
        <v/>
      </c>
      <c r="X44" s="23">
        <v>0</v>
      </c>
      <c r="Y44" s="23" t="e">
        <f t="shared" si="21"/>
        <v>#VALUE!</v>
      </c>
      <c r="Z44" s="23" t="e">
        <f t="shared" si="22"/>
        <v>#VALUE!</v>
      </c>
      <c r="AA44" s="5" t="str">
        <f>IF(A44&lt;&gt;"",Inputs!$C$57,"")</f>
        <v/>
      </c>
      <c r="AB44" s="6" t="e">
        <f t="shared" si="23"/>
        <v>#VALUE!</v>
      </c>
      <c r="AC44" s="6"/>
      <c r="AD44" s="23"/>
      <c r="AE44" s="23">
        <f>IF(AND(J44&gt;0,AC44&gt;0),J44*AC44*Inputs!$C$71,0)</f>
        <v>0</v>
      </c>
      <c r="AF44" s="23">
        <f>IF(AND(J44&gt;0,AD44&gt;0),J44*AD44*Inputs!$C$72,0)</f>
        <v>0</v>
      </c>
      <c r="AG44" s="23" t="e">
        <f t="shared" si="24"/>
        <v>#VALUE!</v>
      </c>
      <c r="AH44" s="23" t="e">
        <f t="shared" si="25"/>
        <v>#VALUE!</v>
      </c>
      <c r="AI44" s="23" t="e">
        <f t="shared" si="26"/>
        <v>#VALUE!</v>
      </c>
      <c r="AJ44" s="23" t="e">
        <f t="shared" si="27"/>
        <v>#VALUE!</v>
      </c>
    </row>
    <row r="45" spans="1:36" x14ac:dyDescent="0.2">
      <c r="A45" s="6"/>
      <c r="B45" s="6"/>
      <c r="C45" s="6"/>
      <c r="D45" s="6"/>
      <c r="E45" s="11"/>
      <c r="F45" s="11"/>
      <c r="G45" s="11"/>
      <c r="H45" s="11"/>
      <c r="I45" s="10" t="str">
        <f t="shared" si="14"/>
        <v/>
      </c>
      <c r="J45" s="10" t="str">
        <f t="shared" si="15"/>
        <v/>
      </c>
      <c r="K45" s="14" t="str">
        <f t="shared" si="16"/>
        <v/>
      </c>
      <c r="L45" s="10" t="str">
        <f>IF(C45="BC",'Mix Design'!$B$9,IF(C45="DBM",'Mix Design'!$C$9,""))</f>
        <v/>
      </c>
      <c r="M45" s="10" t="str">
        <f>IF(C45="BC",Inputs!$C$17,IF(C45="DBM",Inputs!$C$18,""))</f>
        <v/>
      </c>
      <c r="N45" s="10" t="e">
        <f t="shared" si="17"/>
        <v>#VALUE!</v>
      </c>
      <c r="O45" s="10" t="e">
        <f t="shared" si="18"/>
        <v>#VALUE!</v>
      </c>
      <c r="P45" s="10" t="e">
        <f t="shared" si="19"/>
        <v>#VALUE!</v>
      </c>
      <c r="Q45" s="23" t="e">
        <f>IF(AND(P45&gt;0,Inputs!$C$6&gt;0),P45/Inputs!$C$6*Inputs!$C$7,"")</f>
        <v>#VALUE!</v>
      </c>
      <c r="R45" s="23" t="str">
        <f>IF(C45="BC",'Rate Model'!$C$19,IF(C45="DBM",'Rate Model'!$E$19,""))</f>
        <v/>
      </c>
      <c r="S45" s="11" t="e">
        <f t="shared" si="20"/>
        <v>#VALUE!</v>
      </c>
      <c r="T45" s="11" t="str">
        <f>IF(A45&lt;&gt;"",Inputs!$C$47,"")</f>
        <v/>
      </c>
      <c r="U45" s="11" t="str">
        <f>IF(A45&lt;&gt;"",Inputs!$C$48,"")</f>
        <v/>
      </c>
      <c r="V45" s="11">
        <v>2</v>
      </c>
      <c r="W45" s="11" t="str">
        <f>IF(A45&lt;&gt;"",Inputs!$C$49,"")</f>
        <v/>
      </c>
      <c r="X45" s="23">
        <v>0</v>
      </c>
      <c r="Y45" s="23" t="e">
        <f t="shared" si="21"/>
        <v>#VALUE!</v>
      </c>
      <c r="Z45" s="23" t="e">
        <f t="shared" si="22"/>
        <v>#VALUE!</v>
      </c>
      <c r="AA45" s="5" t="str">
        <f>IF(A45&lt;&gt;"",Inputs!$C$57,"")</f>
        <v/>
      </c>
      <c r="AB45" s="6" t="e">
        <f t="shared" si="23"/>
        <v>#VALUE!</v>
      </c>
      <c r="AC45" s="6"/>
      <c r="AD45" s="23"/>
      <c r="AE45" s="23">
        <f>IF(AND(J45&gt;0,AC45&gt;0),J45*AC45*Inputs!$C$71,0)</f>
        <v>0</v>
      </c>
      <c r="AF45" s="23">
        <f>IF(AND(J45&gt;0,AD45&gt;0),J45*AD45*Inputs!$C$72,0)</f>
        <v>0</v>
      </c>
      <c r="AG45" s="23" t="e">
        <f t="shared" si="24"/>
        <v>#VALUE!</v>
      </c>
      <c r="AH45" s="23" t="e">
        <f t="shared" si="25"/>
        <v>#VALUE!</v>
      </c>
      <c r="AI45" s="23" t="e">
        <f t="shared" si="26"/>
        <v>#VALUE!</v>
      </c>
      <c r="AJ45" s="23" t="e">
        <f t="shared" si="27"/>
        <v>#VALUE!</v>
      </c>
    </row>
    <row r="46" spans="1:36" x14ac:dyDescent="0.2">
      <c r="A46" s="6"/>
      <c r="B46" s="6"/>
      <c r="C46" s="6"/>
      <c r="D46" s="6"/>
      <c r="E46" s="11"/>
      <c r="F46" s="11"/>
      <c r="G46" s="11"/>
      <c r="H46" s="11"/>
      <c r="I46" s="10" t="str">
        <f t="shared" si="14"/>
        <v/>
      </c>
      <c r="J46" s="10" t="str">
        <f t="shared" si="15"/>
        <v/>
      </c>
      <c r="K46" s="14" t="str">
        <f t="shared" si="16"/>
        <v/>
      </c>
      <c r="L46" s="10" t="str">
        <f>IF(C46="BC",'Mix Design'!$B$9,IF(C46="DBM",'Mix Design'!$C$9,""))</f>
        <v/>
      </c>
      <c r="M46" s="10" t="str">
        <f>IF(C46="BC",Inputs!$C$17,IF(C46="DBM",Inputs!$C$18,""))</f>
        <v/>
      </c>
      <c r="N46" s="10" t="e">
        <f t="shared" si="17"/>
        <v>#VALUE!</v>
      </c>
      <c r="O46" s="10" t="e">
        <f t="shared" si="18"/>
        <v>#VALUE!</v>
      </c>
      <c r="P46" s="10" t="e">
        <f t="shared" si="19"/>
        <v>#VALUE!</v>
      </c>
      <c r="Q46" s="23" t="e">
        <f>IF(AND(P46&gt;0,Inputs!$C$6&gt;0),P46/Inputs!$C$6*Inputs!$C$7,"")</f>
        <v>#VALUE!</v>
      </c>
      <c r="R46" s="23" t="str">
        <f>IF(C46="BC",'Rate Model'!$C$19,IF(C46="DBM",'Rate Model'!$E$19,""))</f>
        <v/>
      </c>
      <c r="S46" s="11" t="e">
        <f t="shared" si="20"/>
        <v>#VALUE!</v>
      </c>
      <c r="T46" s="11" t="str">
        <f>IF(A46&lt;&gt;"",Inputs!$C$47,"")</f>
        <v/>
      </c>
      <c r="U46" s="11" t="str">
        <f>IF(A46&lt;&gt;"",Inputs!$C$48,"")</f>
        <v/>
      </c>
      <c r="V46" s="11">
        <v>2</v>
      </c>
      <c r="W46" s="11" t="str">
        <f>IF(A46&lt;&gt;"",Inputs!$C$49,"")</f>
        <v/>
      </c>
      <c r="X46" s="23">
        <v>0</v>
      </c>
      <c r="Y46" s="23" t="e">
        <f t="shared" si="21"/>
        <v>#VALUE!</v>
      </c>
      <c r="Z46" s="23" t="e">
        <f t="shared" si="22"/>
        <v>#VALUE!</v>
      </c>
      <c r="AA46" s="5" t="str">
        <f>IF(A46&lt;&gt;"",Inputs!$C$57,"")</f>
        <v/>
      </c>
      <c r="AB46" s="6" t="e">
        <f t="shared" si="23"/>
        <v>#VALUE!</v>
      </c>
      <c r="AC46" s="6"/>
      <c r="AD46" s="23"/>
      <c r="AE46" s="23">
        <f>IF(AND(J46&gt;0,AC46&gt;0),J46*AC46*Inputs!$C$71,0)</f>
        <v>0</v>
      </c>
      <c r="AF46" s="23">
        <f>IF(AND(J46&gt;0,AD46&gt;0),J46*AD46*Inputs!$C$72,0)</f>
        <v>0</v>
      </c>
      <c r="AG46" s="23" t="e">
        <f t="shared" si="24"/>
        <v>#VALUE!</v>
      </c>
      <c r="AH46" s="23" t="e">
        <f t="shared" si="25"/>
        <v>#VALUE!</v>
      </c>
      <c r="AI46" s="23" t="e">
        <f t="shared" si="26"/>
        <v>#VALUE!</v>
      </c>
      <c r="AJ46" s="23" t="e">
        <f t="shared" si="27"/>
        <v>#VALUE!</v>
      </c>
    </row>
    <row r="47" spans="1:36" x14ac:dyDescent="0.2">
      <c r="A47" s="6"/>
      <c r="B47" s="6"/>
      <c r="C47" s="6"/>
      <c r="D47" s="6"/>
      <c r="E47" s="11"/>
      <c r="F47" s="11"/>
      <c r="G47" s="11"/>
      <c r="H47" s="11"/>
      <c r="I47" s="10" t="str">
        <f t="shared" si="14"/>
        <v/>
      </c>
      <c r="J47" s="10" t="str">
        <f t="shared" si="15"/>
        <v/>
      </c>
      <c r="K47" s="14" t="str">
        <f t="shared" si="16"/>
        <v/>
      </c>
      <c r="L47" s="10" t="str">
        <f>IF(C47="BC",'Mix Design'!$B$9,IF(C47="DBM",'Mix Design'!$C$9,""))</f>
        <v/>
      </c>
      <c r="M47" s="10" t="str">
        <f>IF(C47="BC",Inputs!$C$17,IF(C47="DBM",Inputs!$C$18,""))</f>
        <v/>
      </c>
      <c r="N47" s="10" t="e">
        <f t="shared" si="17"/>
        <v>#VALUE!</v>
      </c>
      <c r="O47" s="10" t="e">
        <f t="shared" si="18"/>
        <v>#VALUE!</v>
      </c>
      <c r="P47" s="10" t="e">
        <f t="shared" si="19"/>
        <v>#VALUE!</v>
      </c>
      <c r="Q47" s="23" t="e">
        <f>IF(AND(P47&gt;0,Inputs!$C$6&gt;0),P47/Inputs!$C$6*Inputs!$C$7,"")</f>
        <v>#VALUE!</v>
      </c>
      <c r="R47" s="23" t="str">
        <f>IF(C47="BC",'Rate Model'!$C$19,IF(C47="DBM",'Rate Model'!$E$19,""))</f>
        <v/>
      </c>
      <c r="S47" s="11" t="e">
        <f t="shared" si="20"/>
        <v>#VALUE!</v>
      </c>
      <c r="T47" s="11" t="str">
        <f>IF(A47&lt;&gt;"",Inputs!$C$47,"")</f>
        <v/>
      </c>
      <c r="U47" s="11" t="str">
        <f>IF(A47&lt;&gt;"",Inputs!$C$48,"")</f>
        <v/>
      </c>
      <c r="V47" s="11">
        <v>2</v>
      </c>
      <c r="W47" s="11" t="str">
        <f>IF(A47&lt;&gt;"",Inputs!$C$49,"")</f>
        <v/>
      </c>
      <c r="X47" s="23">
        <v>0</v>
      </c>
      <c r="Y47" s="23" t="e">
        <f t="shared" si="21"/>
        <v>#VALUE!</v>
      </c>
      <c r="Z47" s="23" t="e">
        <f t="shared" si="22"/>
        <v>#VALUE!</v>
      </c>
      <c r="AA47" s="5" t="str">
        <f>IF(A47&lt;&gt;"",Inputs!$C$57,"")</f>
        <v/>
      </c>
      <c r="AB47" s="6" t="e">
        <f t="shared" si="23"/>
        <v>#VALUE!</v>
      </c>
      <c r="AC47" s="6"/>
      <c r="AD47" s="23"/>
      <c r="AE47" s="23">
        <f>IF(AND(J47&gt;0,AC47&gt;0),J47*AC47*Inputs!$C$71,0)</f>
        <v>0</v>
      </c>
      <c r="AF47" s="23">
        <f>IF(AND(J47&gt;0,AD47&gt;0),J47*AD47*Inputs!$C$72,0)</f>
        <v>0</v>
      </c>
      <c r="AG47" s="23" t="e">
        <f t="shared" si="24"/>
        <v>#VALUE!</v>
      </c>
      <c r="AH47" s="23" t="e">
        <f t="shared" si="25"/>
        <v>#VALUE!</v>
      </c>
      <c r="AI47" s="23" t="e">
        <f t="shared" si="26"/>
        <v>#VALUE!</v>
      </c>
      <c r="AJ47" s="23" t="e">
        <f t="shared" si="27"/>
        <v>#VALUE!</v>
      </c>
    </row>
    <row r="48" spans="1:36" x14ac:dyDescent="0.2">
      <c r="A48" s="6"/>
      <c r="B48" s="6"/>
      <c r="C48" s="6"/>
      <c r="D48" s="6"/>
      <c r="E48" s="11"/>
      <c r="F48" s="11"/>
      <c r="G48" s="11"/>
      <c r="H48" s="11"/>
      <c r="I48" s="10" t="str">
        <f t="shared" si="14"/>
        <v/>
      </c>
      <c r="J48" s="10" t="str">
        <f t="shared" si="15"/>
        <v/>
      </c>
      <c r="K48" s="14" t="str">
        <f t="shared" si="16"/>
        <v/>
      </c>
      <c r="L48" s="10" t="str">
        <f>IF(C48="BC",'Mix Design'!$B$9,IF(C48="DBM",'Mix Design'!$C$9,""))</f>
        <v/>
      </c>
      <c r="M48" s="10" t="str">
        <f>IF(C48="BC",Inputs!$C$17,IF(C48="DBM",Inputs!$C$18,""))</f>
        <v/>
      </c>
      <c r="N48" s="10" t="e">
        <f t="shared" si="17"/>
        <v>#VALUE!</v>
      </c>
      <c r="O48" s="10" t="e">
        <f t="shared" si="18"/>
        <v>#VALUE!</v>
      </c>
      <c r="P48" s="10" t="e">
        <f t="shared" si="19"/>
        <v>#VALUE!</v>
      </c>
      <c r="Q48" s="23" t="e">
        <f>IF(AND(P48&gt;0,Inputs!$C$6&gt;0),P48/Inputs!$C$6*Inputs!$C$7,"")</f>
        <v>#VALUE!</v>
      </c>
      <c r="R48" s="23" t="str">
        <f>IF(C48="BC",'Rate Model'!$C$19,IF(C48="DBM",'Rate Model'!$E$19,""))</f>
        <v/>
      </c>
      <c r="S48" s="11" t="e">
        <f t="shared" si="20"/>
        <v>#VALUE!</v>
      </c>
      <c r="T48" s="11" t="str">
        <f>IF(A48&lt;&gt;"",Inputs!$C$47,"")</f>
        <v/>
      </c>
      <c r="U48" s="11" t="str">
        <f>IF(A48&lt;&gt;"",Inputs!$C$48,"")</f>
        <v/>
      </c>
      <c r="V48" s="11">
        <v>2</v>
      </c>
      <c r="W48" s="11" t="str">
        <f>IF(A48&lt;&gt;"",Inputs!$C$49,"")</f>
        <v/>
      </c>
      <c r="X48" s="23">
        <v>0</v>
      </c>
      <c r="Y48" s="23" t="e">
        <f t="shared" si="21"/>
        <v>#VALUE!</v>
      </c>
      <c r="Z48" s="23" t="e">
        <f t="shared" si="22"/>
        <v>#VALUE!</v>
      </c>
      <c r="AA48" s="5" t="str">
        <f>IF(A48&lt;&gt;"",Inputs!$C$57,"")</f>
        <v/>
      </c>
      <c r="AB48" s="6" t="e">
        <f t="shared" si="23"/>
        <v>#VALUE!</v>
      </c>
      <c r="AC48" s="6"/>
      <c r="AD48" s="23"/>
      <c r="AE48" s="23">
        <f>IF(AND(J48&gt;0,AC48&gt;0),J48*AC48*Inputs!$C$71,0)</f>
        <v>0</v>
      </c>
      <c r="AF48" s="23">
        <f>IF(AND(J48&gt;0,AD48&gt;0),J48*AD48*Inputs!$C$72,0)</f>
        <v>0</v>
      </c>
      <c r="AG48" s="23" t="e">
        <f t="shared" si="24"/>
        <v>#VALUE!</v>
      </c>
      <c r="AH48" s="23" t="e">
        <f t="shared" si="25"/>
        <v>#VALUE!</v>
      </c>
      <c r="AI48" s="23" t="e">
        <f t="shared" si="26"/>
        <v>#VALUE!</v>
      </c>
      <c r="AJ48" s="23" t="e">
        <f t="shared" si="27"/>
        <v>#VALUE!</v>
      </c>
    </row>
    <row r="49" spans="1:36" x14ac:dyDescent="0.2">
      <c r="A49" s="6"/>
      <c r="B49" s="6"/>
      <c r="C49" s="6"/>
      <c r="D49" s="6"/>
      <c r="E49" s="11"/>
      <c r="F49" s="11"/>
      <c r="G49" s="11"/>
      <c r="H49" s="11"/>
      <c r="I49" s="10" t="str">
        <f t="shared" si="14"/>
        <v/>
      </c>
      <c r="J49" s="10" t="str">
        <f t="shared" si="15"/>
        <v/>
      </c>
      <c r="K49" s="14" t="str">
        <f t="shared" si="16"/>
        <v/>
      </c>
      <c r="L49" s="10" t="str">
        <f>IF(C49="BC",'Mix Design'!$B$9,IF(C49="DBM",'Mix Design'!$C$9,""))</f>
        <v/>
      </c>
      <c r="M49" s="10" t="str">
        <f>IF(C49="BC",Inputs!$C$17,IF(C49="DBM",Inputs!$C$18,""))</f>
        <v/>
      </c>
      <c r="N49" s="10" t="e">
        <f t="shared" si="17"/>
        <v>#VALUE!</v>
      </c>
      <c r="O49" s="10" t="e">
        <f t="shared" si="18"/>
        <v>#VALUE!</v>
      </c>
      <c r="P49" s="10" t="e">
        <f t="shared" si="19"/>
        <v>#VALUE!</v>
      </c>
      <c r="Q49" s="23" t="e">
        <f>IF(AND(P49&gt;0,Inputs!$C$6&gt;0),P49/Inputs!$C$6*Inputs!$C$7,"")</f>
        <v>#VALUE!</v>
      </c>
      <c r="R49" s="23" t="str">
        <f>IF(C49="BC",'Rate Model'!$C$19,IF(C49="DBM",'Rate Model'!$E$19,""))</f>
        <v/>
      </c>
      <c r="S49" s="11" t="e">
        <f t="shared" si="20"/>
        <v>#VALUE!</v>
      </c>
      <c r="T49" s="11" t="str">
        <f>IF(A49&lt;&gt;"",Inputs!$C$47,"")</f>
        <v/>
      </c>
      <c r="U49" s="11" t="str">
        <f>IF(A49&lt;&gt;"",Inputs!$C$48,"")</f>
        <v/>
      </c>
      <c r="V49" s="11">
        <v>2</v>
      </c>
      <c r="W49" s="11" t="str">
        <f>IF(A49&lt;&gt;"",Inputs!$C$49,"")</f>
        <v/>
      </c>
      <c r="X49" s="23">
        <v>0</v>
      </c>
      <c r="Y49" s="23" t="e">
        <f t="shared" si="21"/>
        <v>#VALUE!</v>
      </c>
      <c r="Z49" s="23" t="e">
        <f t="shared" si="22"/>
        <v>#VALUE!</v>
      </c>
      <c r="AA49" s="5" t="str">
        <f>IF(A49&lt;&gt;"",Inputs!$C$57,"")</f>
        <v/>
      </c>
      <c r="AB49" s="6" t="e">
        <f t="shared" si="23"/>
        <v>#VALUE!</v>
      </c>
      <c r="AC49" s="6"/>
      <c r="AD49" s="23"/>
      <c r="AE49" s="23">
        <f>IF(AND(J49&gt;0,AC49&gt;0),J49*AC49*Inputs!$C$71,0)</f>
        <v>0</v>
      </c>
      <c r="AF49" s="23">
        <f>IF(AND(J49&gt;0,AD49&gt;0),J49*AD49*Inputs!$C$72,0)</f>
        <v>0</v>
      </c>
      <c r="AG49" s="23" t="e">
        <f t="shared" si="24"/>
        <v>#VALUE!</v>
      </c>
      <c r="AH49" s="23" t="e">
        <f t="shared" si="25"/>
        <v>#VALUE!</v>
      </c>
      <c r="AI49" s="23" t="e">
        <f t="shared" si="26"/>
        <v>#VALUE!</v>
      </c>
      <c r="AJ49" s="23" t="e">
        <f t="shared" si="27"/>
        <v>#VALUE!</v>
      </c>
    </row>
    <row r="50" spans="1:36" x14ac:dyDescent="0.2">
      <c r="A50" s="6"/>
      <c r="B50" s="6"/>
      <c r="C50" s="6"/>
      <c r="D50" s="6"/>
      <c r="E50" s="11"/>
      <c r="F50" s="11"/>
      <c r="G50" s="11"/>
      <c r="H50" s="11"/>
      <c r="I50" s="10" t="str">
        <f t="shared" si="14"/>
        <v/>
      </c>
      <c r="J50" s="10" t="str">
        <f t="shared" si="15"/>
        <v/>
      </c>
      <c r="K50" s="14" t="str">
        <f t="shared" si="16"/>
        <v/>
      </c>
      <c r="L50" s="10" t="str">
        <f>IF(C50="BC",'Mix Design'!$B$9,IF(C50="DBM",'Mix Design'!$C$9,""))</f>
        <v/>
      </c>
      <c r="M50" s="10" t="str">
        <f>IF(C50="BC",Inputs!$C$17,IF(C50="DBM",Inputs!$C$18,""))</f>
        <v/>
      </c>
      <c r="N50" s="10" t="e">
        <f t="shared" si="17"/>
        <v>#VALUE!</v>
      </c>
      <c r="O50" s="10" t="e">
        <f t="shared" si="18"/>
        <v>#VALUE!</v>
      </c>
      <c r="P50" s="10" t="e">
        <f t="shared" si="19"/>
        <v>#VALUE!</v>
      </c>
      <c r="Q50" s="23" t="e">
        <f>IF(AND(P50&gt;0,Inputs!$C$6&gt;0),P50/Inputs!$C$6*Inputs!$C$7,"")</f>
        <v>#VALUE!</v>
      </c>
      <c r="R50" s="23" t="str">
        <f>IF(C50="BC",'Rate Model'!$C$19,IF(C50="DBM",'Rate Model'!$E$19,""))</f>
        <v/>
      </c>
      <c r="S50" s="11" t="e">
        <f t="shared" si="20"/>
        <v>#VALUE!</v>
      </c>
      <c r="T50" s="11" t="str">
        <f>IF(A50&lt;&gt;"",Inputs!$C$47,"")</f>
        <v/>
      </c>
      <c r="U50" s="11" t="str">
        <f>IF(A50&lt;&gt;"",Inputs!$C$48,"")</f>
        <v/>
      </c>
      <c r="V50" s="11">
        <v>2</v>
      </c>
      <c r="W50" s="11" t="str">
        <f>IF(A50&lt;&gt;"",Inputs!$C$49,"")</f>
        <v/>
      </c>
      <c r="X50" s="23">
        <v>0</v>
      </c>
      <c r="Y50" s="23" t="e">
        <f t="shared" si="21"/>
        <v>#VALUE!</v>
      </c>
      <c r="Z50" s="23" t="e">
        <f t="shared" si="22"/>
        <v>#VALUE!</v>
      </c>
      <c r="AA50" s="5" t="str">
        <f>IF(A50&lt;&gt;"",Inputs!$C$57,"")</f>
        <v/>
      </c>
      <c r="AB50" s="6" t="e">
        <f t="shared" si="23"/>
        <v>#VALUE!</v>
      </c>
      <c r="AC50" s="6"/>
      <c r="AD50" s="23"/>
      <c r="AE50" s="23">
        <f>IF(AND(J50&gt;0,AC50&gt;0),J50*AC50*Inputs!$C$71,0)</f>
        <v>0</v>
      </c>
      <c r="AF50" s="23">
        <f>IF(AND(J50&gt;0,AD50&gt;0),J50*AD50*Inputs!$C$72,0)</f>
        <v>0</v>
      </c>
      <c r="AG50" s="23" t="e">
        <f t="shared" si="24"/>
        <v>#VALUE!</v>
      </c>
      <c r="AH50" s="23" t="e">
        <f t="shared" si="25"/>
        <v>#VALUE!</v>
      </c>
      <c r="AI50" s="23" t="e">
        <f t="shared" si="26"/>
        <v>#VALUE!</v>
      </c>
      <c r="AJ50" s="23" t="e">
        <f t="shared" si="27"/>
        <v>#VALUE!</v>
      </c>
    </row>
    <row r="51" spans="1:36" x14ac:dyDescent="0.2">
      <c r="A51" s="6"/>
      <c r="B51" s="6"/>
      <c r="C51" s="6"/>
      <c r="D51" s="6"/>
      <c r="E51" s="11"/>
      <c r="F51" s="11"/>
      <c r="G51" s="11"/>
      <c r="H51" s="11"/>
      <c r="I51" s="10" t="str">
        <f t="shared" si="14"/>
        <v/>
      </c>
      <c r="J51" s="10" t="str">
        <f t="shared" si="15"/>
        <v/>
      </c>
      <c r="K51" s="14" t="str">
        <f t="shared" si="16"/>
        <v/>
      </c>
      <c r="L51" s="10" t="str">
        <f>IF(C51="BC",'Mix Design'!$B$9,IF(C51="DBM",'Mix Design'!$C$9,""))</f>
        <v/>
      </c>
      <c r="M51" s="10" t="str">
        <f>IF(C51="BC",Inputs!$C$17,IF(C51="DBM",Inputs!$C$18,""))</f>
        <v/>
      </c>
      <c r="N51" s="10" t="e">
        <f t="shared" si="17"/>
        <v>#VALUE!</v>
      </c>
      <c r="O51" s="10" t="e">
        <f t="shared" si="18"/>
        <v>#VALUE!</v>
      </c>
      <c r="P51" s="10" t="e">
        <f t="shared" si="19"/>
        <v>#VALUE!</v>
      </c>
      <c r="Q51" s="23" t="e">
        <f>IF(AND(P51&gt;0,Inputs!$C$6&gt;0),P51/Inputs!$C$6*Inputs!$C$7,"")</f>
        <v>#VALUE!</v>
      </c>
      <c r="R51" s="23" t="str">
        <f>IF(C51="BC",'Rate Model'!$C$19,IF(C51="DBM",'Rate Model'!$E$19,""))</f>
        <v/>
      </c>
      <c r="S51" s="11" t="e">
        <f t="shared" si="20"/>
        <v>#VALUE!</v>
      </c>
      <c r="T51" s="11" t="str">
        <f>IF(A51&lt;&gt;"",Inputs!$C$47,"")</f>
        <v/>
      </c>
      <c r="U51" s="11" t="str">
        <f>IF(A51&lt;&gt;"",Inputs!$C$48,"")</f>
        <v/>
      </c>
      <c r="V51" s="11">
        <v>2</v>
      </c>
      <c r="W51" s="11" t="str">
        <f>IF(A51&lt;&gt;"",Inputs!$C$49,"")</f>
        <v/>
      </c>
      <c r="X51" s="23">
        <v>0</v>
      </c>
      <c r="Y51" s="23" t="e">
        <f t="shared" si="21"/>
        <v>#VALUE!</v>
      </c>
      <c r="Z51" s="23" t="e">
        <f t="shared" si="22"/>
        <v>#VALUE!</v>
      </c>
      <c r="AA51" s="5" t="str">
        <f>IF(A51&lt;&gt;"",Inputs!$C$57,"")</f>
        <v/>
      </c>
      <c r="AB51" s="6" t="e">
        <f t="shared" si="23"/>
        <v>#VALUE!</v>
      </c>
      <c r="AC51" s="6"/>
      <c r="AD51" s="23"/>
      <c r="AE51" s="23">
        <f>IF(AND(J51&gt;0,AC51&gt;0),J51*AC51*Inputs!$C$71,0)</f>
        <v>0</v>
      </c>
      <c r="AF51" s="23">
        <f>IF(AND(J51&gt;0,AD51&gt;0),J51*AD51*Inputs!$C$72,0)</f>
        <v>0</v>
      </c>
      <c r="AG51" s="23" t="e">
        <f t="shared" si="24"/>
        <v>#VALUE!</v>
      </c>
      <c r="AH51" s="23" t="e">
        <f t="shared" si="25"/>
        <v>#VALUE!</v>
      </c>
      <c r="AI51" s="23" t="e">
        <f t="shared" si="26"/>
        <v>#VALUE!</v>
      </c>
      <c r="AJ51" s="23" t="e">
        <f t="shared" si="27"/>
        <v>#VALUE!</v>
      </c>
    </row>
    <row r="52" spans="1:36" x14ac:dyDescent="0.2">
      <c r="A52" s="6"/>
      <c r="B52" s="6"/>
      <c r="C52" s="6"/>
      <c r="D52" s="6"/>
      <c r="E52" s="11"/>
      <c r="F52" s="11"/>
      <c r="G52" s="11"/>
      <c r="H52" s="11"/>
      <c r="I52" s="10" t="str">
        <f t="shared" si="14"/>
        <v/>
      </c>
      <c r="J52" s="10" t="str">
        <f t="shared" si="15"/>
        <v/>
      </c>
      <c r="K52" s="14" t="str">
        <f t="shared" si="16"/>
        <v/>
      </c>
      <c r="L52" s="10" t="str">
        <f>IF(C52="BC",'Mix Design'!$B$9,IF(C52="DBM",'Mix Design'!$C$9,""))</f>
        <v/>
      </c>
      <c r="M52" s="10" t="str">
        <f>IF(C52="BC",Inputs!$C$17,IF(C52="DBM",Inputs!$C$18,""))</f>
        <v/>
      </c>
      <c r="N52" s="10" t="e">
        <f t="shared" si="17"/>
        <v>#VALUE!</v>
      </c>
      <c r="O52" s="10" t="e">
        <f t="shared" si="18"/>
        <v>#VALUE!</v>
      </c>
      <c r="P52" s="10" t="e">
        <f t="shared" si="19"/>
        <v>#VALUE!</v>
      </c>
      <c r="Q52" s="23" t="e">
        <f>IF(AND(P52&gt;0,Inputs!$C$6&gt;0),P52/Inputs!$C$6*Inputs!$C$7,"")</f>
        <v>#VALUE!</v>
      </c>
      <c r="R52" s="23" t="str">
        <f>IF(C52="BC",'Rate Model'!$C$19,IF(C52="DBM",'Rate Model'!$E$19,""))</f>
        <v/>
      </c>
      <c r="S52" s="11" t="e">
        <f t="shared" si="20"/>
        <v>#VALUE!</v>
      </c>
      <c r="T52" s="11" t="str">
        <f>IF(A52&lt;&gt;"",Inputs!$C$47,"")</f>
        <v/>
      </c>
      <c r="U52" s="11" t="str">
        <f>IF(A52&lt;&gt;"",Inputs!$C$48,"")</f>
        <v/>
      </c>
      <c r="V52" s="11">
        <v>2</v>
      </c>
      <c r="W52" s="11" t="str">
        <f>IF(A52&lt;&gt;"",Inputs!$C$49,"")</f>
        <v/>
      </c>
      <c r="X52" s="23">
        <v>0</v>
      </c>
      <c r="Y52" s="23" t="e">
        <f t="shared" si="21"/>
        <v>#VALUE!</v>
      </c>
      <c r="Z52" s="23" t="e">
        <f t="shared" si="22"/>
        <v>#VALUE!</v>
      </c>
      <c r="AA52" s="5" t="str">
        <f>IF(A52&lt;&gt;"",Inputs!$C$57,"")</f>
        <v/>
      </c>
      <c r="AB52" s="6" t="e">
        <f t="shared" si="23"/>
        <v>#VALUE!</v>
      </c>
      <c r="AC52" s="6"/>
      <c r="AD52" s="23"/>
      <c r="AE52" s="23">
        <f>IF(AND(J52&gt;0,AC52&gt;0),J52*AC52*Inputs!$C$71,0)</f>
        <v>0</v>
      </c>
      <c r="AF52" s="23">
        <f>IF(AND(J52&gt;0,AD52&gt;0),J52*AD52*Inputs!$C$72,0)</f>
        <v>0</v>
      </c>
      <c r="AG52" s="23" t="e">
        <f t="shared" si="24"/>
        <v>#VALUE!</v>
      </c>
      <c r="AH52" s="23" t="e">
        <f t="shared" si="25"/>
        <v>#VALUE!</v>
      </c>
      <c r="AI52" s="23" t="e">
        <f t="shared" si="26"/>
        <v>#VALUE!</v>
      </c>
      <c r="AJ52" s="23" t="e">
        <f t="shared" si="27"/>
        <v>#VALUE!</v>
      </c>
    </row>
    <row r="53" spans="1:36" x14ac:dyDescent="0.2">
      <c r="A53" s="6"/>
      <c r="B53" s="6"/>
      <c r="C53" s="6"/>
      <c r="D53" s="6"/>
      <c r="E53" s="11"/>
      <c r="F53" s="11"/>
      <c r="G53" s="11"/>
      <c r="H53" s="11"/>
      <c r="I53" s="10" t="str">
        <f t="shared" si="14"/>
        <v/>
      </c>
      <c r="J53" s="10" t="str">
        <f t="shared" si="15"/>
        <v/>
      </c>
      <c r="K53" s="14" t="str">
        <f t="shared" si="16"/>
        <v/>
      </c>
      <c r="L53" s="10" t="str">
        <f>IF(C53="BC",'Mix Design'!$B$9,IF(C53="DBM",'Mix Design'!$C$9,""))</f>
        <v/>
      </c>
      <c r="M53" s="10" t="str">
        <f>IF(C53="BC",Inputs!$C$17,IF(C53="DBM",Inputs!$C$18,""))</f>
        <v/>
      </c>
      <c r="N53" s="10" t="e">
        <f t="shared" si="17"/>
        <v>#VALUE!</v>
      </c>
      <c r="O53" s="10" t="e">
        <f t="shared" si="18"/>
        <v>#VALUE!</v>
      </c>
      <c r="P53" s="10" t="e">
        <f t="shared" si="19"/>
        <v>#VALUE!</v>
      </c>
      <c r="Q53" s="23" t="e">
        <f>IF(AND(P53&gt;0,Inputs!$C$6&gt;0),P53/Inputs!$C$6*Inputs!$C$7,"")</f>
        <v>#VALUE!</v>
      </c>
      <c r="R53" s="23" t="str">
        <f>IF(C53="BC",'Rate Model'!$C$19,IF(C53="DBM",'Rate Model'!$E$19,""))</f>
        <v/>
      </c>
      <c r="S53" s="11" t="e">
        <f t="shared" si="20"/>
        <v>#VALUE!</v>
      </c>
      <c r="T53" s="11" t="str">
        <f>IF(A53&lt;&gt;"",Inputs!$C$47,"")</f>
        <v/>
      </c>
      <c r="U53" s="11" t="str">
        <f>IF(A53&lt;&gt;"",Inputs!$C$48,"")</f>
        <v/>
      </c>
      <c r="V53" s="11">
        <v>2</v>
      </c>
      <c r="W53" s="11" t="str">
        <f>IF(A53&lt;&gt;"",Inputs!$C$49,"")</f>
        <v/>
      </c>
      <c r="X53" s="23">
        <v>0</v>
      </c>
      <c r="Y53" s="23" t="e">
        <f t="shared" si="21"/>
        <v>#VALUE!</v>
      </c>
      <c r="Z53" s="23" t="e">
        <f t="shared" si="22"/>
        <v>#VALUE!</v>
      </c>
      <c r="AA53" s="5" t="str">
        <f>IF(A53&lt;&gt;"",Inputs!$C$57,"")</f>
        <v/>
      </c>
      <c r="AB53" s="6" t="e">
        <f t="shared" si="23"/>
        <v>#VALUE!</v>
      </c>
      <c r="AC53" s="6"/>
      <c r="AD53" s="23"/>
      <c r="AE53" s="23">
        <f>IF(AND(J53&gt;0,AC53&gt;0),J53*AC53*Inputs!$C$71,0)</f>
        <v>0</v>
      </c>
      <c r="AF53" s="23">
        <f>IF(AND(J53&gt;0,AD53&gt;0),J53*AD53*Inputs!$C$72,0)</f>
        <v>0</v>
      </c>
      <c r="AG53" s="23" t="e">
        <f t="shared" si="24"/>
        <v>#VALUE!</v>
      </c>
      <c r="AH53" s="23" t="e">
        <f t="shared" si="25"/>
        <v>#VALUE!</v>
      </c>
      <c r="AI53" s="23" t="e">
        <f t="shared" si="26"/>
        <v>#VALUE!</v>
      </c>
      <c r="AJ53" s="23" t="e">
        <f t="shared" si="27"/>
        <v>#VALUE!</v>
      </c>
    </row>
    <row r="54" spans="1:36" x14ac:dyDescent="0.2">
      <c r="A54" s="6"/>
      <c r="B54" s="6"/>
      <c r="C54" s="6"/>
      <c r="D54" s="6"/>
      <c r="E54" s="11"/>
      <c r="F54" s="11"/>
      <c r="G54" s="11"/>
      <c r="H54" s="11"/>
      <c r="I54" s="10" t="str">
        <f t="shared" si="14"/>
        <v/>
      </c>
      <c r="J54" s="10" t="str">
        <f t="shared" si="15"/>
        <v/>
      </c>
      <c r="K54" s="14" t="str">
        <f t="shared" si="16"/>
        <v/>
      </c>
      <c r="L54" s="10" t="str">
        <f>IF(C54="BC",'Mix Design'!$B$9,IF(C54="DBM",'Mix Design'!$C$9,""))</f>
        <v/>
      </c>
      <c r="M54" s="10" t="str">
        <f>IF(C54="BC",Inputs!$C$17,IF(C54="DBM",Inputs!$C$18,""))</f>
        <v/>
      </c>
      <c r="N54" s="10" t="e">
        <f t="shared" si="17"/>
        <v>#VALUE!</v>
      </c>
      <c r="O54" s="10" t="e">
        <f t="shared" si="18"/>
        <v>#VALUE!</v>
      </c>
      <c r="P54" s="10" t="e">
        <f t="shared" si="19"/>
        <v>#VALUE!</v>
      </c>
      <c r="Q54" s="23" t="e">
        <f>IF(AND(P54&gt;0,Inputs!$C$6&gt;0),P54/Inputs!$C$6*Inputs!$C$7,"")</f>
        <v>#VALUE!</v>
      </c>
      <c r="R54" s="23" t="str">
        <f>IF(C54="BC",'Rate Model'!$C$19,IF(C54="DBM",'Rate Model'!$E$19,""))</f>
        <v/>
      </c>
      <c r="S54" s="11" t="e">
        <f t="shared" si="20"/>
        <v>#VALUE!</v>
      </c>
      <c r="T54" s="11" t="str">
        <f>IF(A54&lt;&gt;"",Inputs!$C$47,"")</f>
        <v/>
      </c>
      <c r="U54" s="11" t="str">
        <f>IF(A54&lt;&gt;"",Inputs!$C$48,"")</f>
        <v/>
      </c>
      <c r="V54" s="11">
        <v>2</v>
      </c>
      <c r="W54" s="11" t="str">
        <f>IF(A54&lt;&gt;"",Inputs!$C$49,"")</f>
        <v/>
      </c>
      <c r="X54" s="23">
        <v>0</v>
      </c>
      <c r="Y54" s="23" t="e">
        <f t="shared" si="21"/>
        <v>#VALUE!</v>
      </c>
      <c r="Z54" s="23" t="e">
        <f t="shared" si="22"/>
        <v>#VALUE!</v>
      </c>
      <c r="AA54" s="5" t="str">
        <f>IF(A54&lt;&gt;"",Inputs!$C$57,"")</f>
        <v/>
      </c>
      <c r="AB54" s="6" t="e">
        <f t="shared" si="23"/>
        <v>#VALUE!</v>
      </c>
      <c r="AC54" s="6"/>
      <c r="AD54" s="23"/>
      <c r="AE54" s="23">
        <f>IF(AND(J54&gt;0,AC54&gt;0),J54*AC54*Inputs!$C$71,0)</f>
        <v>0</v>
      </c>
      <c r="AF54" s="23">
        <f>IF(AND(J54&gt;0,AD54&gt;0),J54*AD54*Inputs!$C$72,0)</f>
        <v>0</v>
      </c>
      <c r="AG54" s="23" t="e">
        <f t="shared" si="24"/>
        <v>#VALUE!</v>
      </c>
      <c r="AH54" s="23" t="e">
        <f t="shared" si="25"/>
        <v>#VALUE!</v>
      </c>
      <c r="AI54" s="23" t="e">
        <f t="shared" si="26"/>
        <v>#VALUE!</v>
      </c>
      <c r="AJ54" s="23" t="e">
        <f t="shared" si="27"/>
        <v>#VALUE!</v>
      </c>
    </row>
    <row r="55" spans="1:36" x14ac:dyDescent="0.2">
      <c r="A55" s="6"/>
      <c r="B55" s="6"/>
      <c r="C55" s="6"/>
      <c r="D55" s="6"/>
      <c r="E55" s="11"/>
      <c r="F55" s="11"/>
      <c r="G55" s="11"/>
      <c r="H55" s="11"/>
      <c r="I55" s="10" t="str">
        <f t="shared" si="14"/>
        <v/>
      </c>
      <c r="J55" s="10" t="str">
        <f t="shared" si="15"/>
        <v/>
      </c>
      <c r="K55" s="14" t="str">
        <f t="shared" si="16"/>
        <v/>
      </c>
      <c r="L55" s="10" t="str">
        <f>IF(C55="BC",'Mix Design'!$B$9,IF(C55="DBM",'Mix Design'!$C$9,""))</f>
        <v/>
      </c>
      <c r="M55" s="10" t="str">
        <f>IF(C55="BC",Inputs!$C$17,IF(C55="DBM",Inputs!$C$18,""))</f>
        <v/>
      </c>
      <c r="N55" s="10" t="e">
        <f t="shared" si="17"/>
        <v>#VALUE!</v>
      </c>
      <c r="O55" s="10" t="e">
        <f t="shared" si="18"/>
        <v>#VALUE!</v>
      </c>
      <c r="P55" s="10" t="e">
        <f t="shared" si="19"/>
        <v>#VALUE!</v>
      </c>
      <c r="Q55" s="23" t="e">
        <f>IF(AND(P55&gt;0,Inputs!$C$6&gt;0),P55/Inputs!$C$6*Inputs!$C$7,"")</f>
        <v>#VALUE!</v>
      </c>
      <c r="R55" s="23" t="str">
        <f>IF(C55="BC",'Rate Model'!$C$19,IF(C55="DBM",'Rate Model'!$E$19,""))</f>
        <v/>
      </c>
      <c r="S55" s="11" t="e">
        <f t="shared" si="20"/>
        <v>#VALUE!</v>
      </c>
      <c r="T55" s="11" t="str">
        <f>IF(A55&lt;&gt;"",Inputs!$C$47,"")</f>
        <v/>
      </c>
      <c r="U55" s="11" t="str">
        <f>IF(A55&lt;&gt;"",Inputs!$C$48,"")</f>
        <v/>
      </c>
      <c r="V55" s="11">
        <v>2</v>
      </c>
      <c r="W55" s="11" t="str">
        <f>IF(A55&lt;&gt;"",Inputs!$C$49,"")</f>
        <v/>
      </c>
      <c r="X55" s="23">
        <v>0</v>
      </c>
      <c r="Y55" s="23" t="e">
        <f t="shared" si="21"/>
        <v>#VALUE!</v>
      </c>
      <c r="Z55" s="23" t="e">
        <f t="shared" si="22"/>
        <v>#VALUE!</v>
      </c>
      <c r="AA55" s="5" t="str">
        <f>IF(A55&lt;&gt;"",Inputs!$C$57,"")</f>
        <v/>
      </c>
      <c r="AB55" s="6" t="e">
        <f t="shared" si="23"/>
        <v>#VALUE!</v>
      </c>
      <c r="AC55" s="6"/>
      <c r="AD55" s="23"/>
      <c r="AE55" s="23">
        <f>IF(AND(J55&gt;0,AC55&gt;0),J55*AC55*Inputs!$C$71,0)</f>
        <v>0</v>
      </c>
      <c r="AF55" s="23">
        <f>IF(AND(J55&gt;0,AD55&gt;0),J55*AD55*Inputs!$C$72,0)</f>
        <v>0</v>
      </c>
      <c r="AG55" s="23" t="e">
        <f t="shared" si="24"/>
        <v>#VALUE!</v>
      </c>
      <c r="AH55" s="23" t="e">
        <f t="shared" si="25"/>
        <v>#VALUE!</v>
      </c>
      <c r="AI55" s="23" t="e">
        <f t="shared" si="26"/>
        <v>#VALUE!</v>
      </c>
      <c r="AJ55" s="23" t="e">
        <f t="shared" si="27"/>
        <v>#VALUE!</v>
      </c>
    </row>
    <row r="56" spans="1:36" x14ac:dyDescent="0.2">
      <c r="A56" s="6"/>
      <c r="B56" s="6"/>
      <c r="C56" s="6"/>
      <c r="D56" s="6"/>
      <c r="E56" s="11"/>
      <c r="F56" s="11"/>
      <c r="G56" s="11"/>
      <c r="H56" s="11"/>
      <c r="I56" s="10" t="str">
        <f t="shared" si="14"/>
        <v/>
      </c>
      <c r="J56" s="10" t="str">
        <f t="shared" si="15"/>
        <v/>
      </c>
      <c r="K56" s="14" t="str">
        <f t="shared" si="16"/>
        <v/>
      </c>
      <c r="L56" s="10" t="str">
        <f>IF(C56="BC",'Mix Design'!$B$9,IF(C56="DBM",'Mix Design'!$C$9,""))</f>
        <v/>
      </c>
      <c r="M56" s="10" t="str">
        <f>IF(C56="BC",Inputs!$C$17,IF(C56="DBM",Inputs!$C$18,""))</f>
        <v/>
      </c>
      <c r="N56" s="10" t="e">
        <f t="shared" si="17"/>
        <v>#VALUE!</v>
      </c>
      <c r="O56" s="10" t="e">
        <f t="shared" si="18"/>
        <v>#VALUE!</v>
      </c>
      <c r="P56" s="10" t="e">
        <f t="shared" si="19"/>
        <v>#VALUE!</v>
      </c>
      <c r="Q56" s="23" t="e">
        <f>IF(AND(P56&gt;0,Inputs!$C$6&gt;0),P56/Inputs!$C$6*Inputs!$C$7,"")</f>
        <v>#VALUE!</v>
      </c>
      <c r="R56" s="23" t="str">
        <f>IF(C56="BC",'Rate Model'!$C$19,IF(C56="DBM",'Rate Model'!$E$19,""))</f>
        <v/>
      </c>
      <c r="S56" s="11" t="e">
        <f t="shared" si="20"/>
        <v>#VALUE!</v>
      </c>
      <c r="T56" s="11" t="str">
        <f>IF(A56&lt;&gt;"",Inputs!$C$47,"")</f>
        <v/>
      </c>
      <c r="U56" s="11" t="str">
        <f>IF(A56&lt;&gt;"",Inputs!$C$48,"")</f>
        <v/>
      </c>
      <c r="V56" s="11">
        <v>2</v>
      </c>
      <c r="W56" s="11" t="str">
        <f>IF(A56&lt;&gt;"",Inputs!$C$49,"")</f>
        <v/>
      </c>
      <c r="X56" s="23">
        <v>0</v>
      </c>
      <c r="Y56" s="23" t="e">
        <f t="shared" si="21"/>
        <v>#VALUE!</v>
      </c>
      <c r="Z56" s="23" t="e">
        <f t="shared" si="22"/>
        <v>#VALUE!</v>
      </c>
      <c r="AA56" s="5" t="str">
        <f>IF(A56&lt;&gt;"",Inputs!$C$57,"")</f>
        <v/>
      </c>
      <c r="AB56" s="6" t="e">
        <f t="shared" si="23"/>
        <v>#VALUE!</v>
      </c>
      <c r="AC56" s="6"/>
      <c r="AD56" s="23"/>
      <c r="AE56" s="23">
        <f>IF(AND(J56&gt;0,AC56&gt;0),J56*AC56*Inputs!$C$71,0)</f>
        <v>0</v>
      </c>
      <c r="AF56" s="23">
        <f>IF(AND(J56&gt;0,AD56&gt;0),J56*AD56*Inputs!$C$72,0)</f>
        <v>0</v>
      </c>
      <c r="AG56" s="23" t="e">
        <f t="shared" si="24"/>
        <v>#VALUE!</v>
      </c>
      <c r="AH56" s="23" t="e">
        <f t="shared" si="25"/>
        <v>#VALUE!</v>
      </c>
      <c r="AI56" s="23" t="e">
        <f t="shared" si="26"/>
        <v>#VALUE!</v>
      </c>
      <c r="AJ56" s="23" t="e">
        <f t="shared" si="27"/>
        <v>#VALUE!</v>
      </c>
    </row>
    <row r="57" spans="1:36" x14ac:dyDescent="0.2">
      <c r="A57" s="6"/>
      <c r="B57" s="6"/>
      <c r="C57" s="6"/>
      <c r="D57" s="6"/>
      <c r="E57" s="11"/>
      <c r="F57" s="11"/>
      <c r="G57" s="11"/>
      <c r="H57" s="11"/>
      <c r="I57" s="10" t="str">
        <f t="shared" si="14"/>
        <v/>
      </c>
      <c r="J57" s="10" t="str">
        <f t="shared" si="15"/>
        <v/>
      </c>
      <c r="K57" s="14" t="str">
        <f t="shared" si="16"/>
        <v/>
      </c>
      <c r="L57" s="10" t="str">
        <f>IF(C57="BC",'Mix Design'!$B$9,IF(C57="DBM",'Mix Design'!$C$9,""))</f>
        <v/>
      </c>
      <c r="M57" s="10" t="str">
        <f>IF(C57="BC",Inputs!$C$17,IF(C57="DBM",Inputs!$C$18,""))</f>
        <v/>
      </c>
      <c r="N57" s="10" t="e">
        <f t="shared" si="17"/>
        <v>#VALUE!</v>
      </c>
      <c r="O57" s="10" t="e">
        <f t="shared" si="18"/>
        <v>#VALUE!</v>
      </c>
      <c r="P57" s="10" t="e">
        <f t="shared" si="19"/>
        <v>#VALUE!</v>
      </c>
      <c r="Q57" s="23" t="e">
        <f>IF(AND(P57&gt;0,Inputs!$C$6&gt;0),P57/Inputs!$C$6*Inputs!$C$7,"")</f>
        <v>#VALUE!</v>
      </c>
      <c r="R57" s="23" t="str">
        <f>IF(C57="BC",'Rate Model'!$C$19,IF(C57="DBM",'Rate Model'!$E$19,""))</f>
        <v/>
      </c>
      <c r="S57" s="11" t="e">
        <f t="shared" si="20"/>
        <v>#VALUE!</v>
      </c>
      <c r="T57" s="11" t="str">
        <f>IF(A57&lt;&gt;"",Inputs!$C$47,"")</f>
        <v/>
      </c>
      <c r="U57" s="11" t="str">
        <f>IF(A57&lt;&gt;"",Inputs!$C$48,"")</f>
        <v/>
      </c>
      <c r="V57" s="11">
        <v>2</v>
      </c>
      <c r="W57" s="11" t="str">
        <f>IF(A57&lt;&gt;"",Inputs!$C$49,"")</f>
        <v/>
      </c>
      <c r="X57" s="23">
        <v>0</v>
      </c>
      <c r="Y57" s="23" t="e">
        <f t="shared" si="21"/>
        <v>#VALUE!</v>
      </c>
      <c r="Z57" s="23" t="e">
        <f t="shared" si="22"/>
        <v>#VALUE!</v>
      </c>
      <c r="AA57" s="5" t="str">
        <f>IF(A57&lt;&gt;"",Inputs!$C$57,"")</f>
        <v/>
      </c>
      <c r="AB57" s="6" t="e">
        <f t="shared" si="23"/>
        <v>#VALUE!</v>
      </c>
      <c r="AC57" s="6"/>
      <c r="AD57" s="23"/>
      <c r="AE57" s="23">
        <f>IF(AND(J57&gt;0,AC57&gt;0),J57*AC57*Inputs!$C$71,0)</f>
        <v>0</v>
      </c>
      <c r="AF57" s="23">
        <f>IF(AND(J57&gt;0,AD57&gt;0),J57*AD57*Inputs!$C$72,0)</f>
        <v>0</v>
      </c>
      <c r="AG57" s="23" t="e">
        <f t="shared" si="24"/>
        <v>#VALUE!</v>
      </c>
      <c r="AH57" s="23" t="e">
        <f t="shared" si="25"/>
        <v>#VALUE!</v>
      </c>
      <c r="AI57" s="23" t="e">
        <f t="shared" si="26"/>
        <v>#VALUE!</v>
      </c>
      <c r="AJ57" s="23" t="e">
        <f t="shared" si="27"/>
        <v>#VALUE!</v>
      </c>
    </row>
    <row r="58" spans="1:36" x14ac:dyDescent="0.2">
      <c r="A58" s="6"/>
      <c r="B58" s="6"/>
      <c r="C58" s="6"/>
      <c r="D58" s="6"/>
      <c r="E58" s="11"/>
      <c r="F58" s="11"/>
      <c r="G58" s="11"/>
      <c r="H58" s="11"/>
      <c r="I58" s="10" t="str">
        <f t="shared" si="14"/>
        <v/>
      </c>
      <c r="J58" s="10" t="str">
        <f t="shared" si="15"/>
        <v/>
      </c>
      <c r="K58" s="14" t="str">
        <f t="shared" si="16"/>
        <v/>
      </c>
      <c r="L58" s="10" t="str">
        <f>IF(C58="BC",'Mix Design'!$B$9,IF(C58="DBM",'Mix Design'!$C$9,""))</f>
        <v/>
      </c>
      <c r="M58" s="10" t="str">
        <f>IF(C58="BC",Inputs!$C$17,IF(C58="DBM",Inputs!$C$18,""))</f>
        <v/>
      </c>
      <c r="N58" s="10" t="e">
        <f t="shared" si="17"/>
        <v>#VALUE!</v>
      </c>
      <c r="O58" s="10" t="e">
        <f t="shared" si="18"/>
        <v>#VALUE!</v>
      </c>
      <c r="P58" s="10" t="e">
        <f t="shared" si="19"/>
        <v>#VALUE!</v>
      </c>
      <c r="Q58" s="23" t="e">
        <f>IF(AND(P58&gt;0,Inputs!$C$6&gt;0),P58/Inputs!$C$6*Inputs!$C$7,"")</f>
        <v>#VALUE!</v>
      </c>
      <c r="R58" s="23" t="str">
        <f>IF(C58="BC",'Rate Model'!$C$19,IF(C58="DBM",'Rate Model'!$E$19,""))</f>
        <v/>
      </c>
      <c r="S58" s="11" t="e">
        <f t="shared" si="20"/>
        <v>#VALUE!</v>
      </c>
      <c r="T58" s="11" t="str">
        <f>IF(A58&lt;&gt;"",Inputs!$C$47,"")</f>
        <v/>
      </c>
      <c r="U58" s="11" t="str">
        <f>IF(A58&lt;&gt;"",Inputs!$C$48,"")</f>
        <v/>
      </c>
      <c r="V58" s="11">
        <v>2</v>
      </c>
      <c r="W58" s="11" t="str">
        <f>IF(A58&lt;&gt;"",Inputs!$C$49,"")</f>
        <v/>
      </c>
      <c r="X58" s="23">
        <v>0</v>
      </c>
      <c r="Y58" s="23" t="e">
        <f t="shared" si="21"/>
        <v>#VALUE!</v>
      </c>
      <c r="Z58" s="23" t="e">
        <f t="shared" si="22"/>
        <v>#VALUE!</v>
      </c>
      <c r="AA58" s="5" t="str">
        <f>IF(A58&lt;&gt;"",Inputs!$C$57,"")</f>
        <v/>
      </c>
      <c r="AB58" s="6" t="e">
        <f t="shared" si="23"/>
        <v>#VALUE!</v>
      </c>
      <c r="AC58" s="6"/>
      <c r="AD58" s="23"/>
      <c r="AE58" s="23">
        <f>IF(AND(J58&gt;0,AC58&gt;0),J58*AC58*Inputs!$C$71,0)</f>
        <v>0</v>
      </c>
      <c r="AF58" s="23">
        <f>IF(AND(J58&gt;0,AD58&gt;0),J58*AD58*Inputs!$C$72,0)</f>
        <v>0</v>
      </c>
      <c r="AG58" s="23" t="e">
        <f t="shared" si="24"/>
        <v>#VALUE!</v>
      </c>
      <c r="AH58" s="23" t="e">
        <f t="shared" si="25"/>
        <v>#VALUE!</v>
      </c>
      <c r="AI58" s="23" t="e">
        <f t="shared" si="26"/>
        <v>#VALUE!</v>
      </c>
      <c r="AJ58" s="23" t="e">
        <f t="shared" si="27"/>
        <v>#VALUE!</v>
      </c>
    </row>
    <row r="59" spans="1:36" x14ac:dyDescent="0.2">
      <c r="A59" s="6"/>
      <c r="B59" s="6"/>
      <c r="C59" s="6"/>
      <c r="D59" s="6"/>
      <c r="E59" s="11"/>
      <c r="F59" s="11"/>
      <c r="G59" s="11"/>
      <c r="H59" s="11"/>
      <c r="I59" s="10" t="str">
        <f t="shared" si="14"/>
        <v/>
      </c>
      <c r="J59" s="10" t="str">
        <f t="shared" si="15"/>
        <v/>
      </c>
      <c r="K59" s="14" t="str">
        <f t="shared" si="16"/>
        <v/>
      </c>
      <c r="L59" s="10" t="str">
        <f>IF(C59="BC",'Mix Design'!$B$9,IF(C59="DBM",'Mix Design'!$C$9,""))</f>
        <v/>
      </c>
      <c r="M59" s="10" t="str">
        <f>IF(C59="BC",Inputs!$C$17,IF(C59="DBM",Inputs!$C$18,""))</f>
        <v/>
      </c>
      <c r="N59" s="10" t="e">
        <f t="shared" si="17"/>
        <v>#VALUE!</v>
      </c>
      <c r="O59" s="10" t="e">
        <f t="shared" si="18"/>
        <v>#VALUE!</v>
      </c>
      <c r="P59" s="10" t="e">
        <f t="shared" si="19"/>
        <v>#VALUE!</v>
      </c>
      <c r="Q59" s="23" t="e">
        <f>IF(AND(P59&gt;0,Inputs!$C$6&gt;0),P59/Inputs!$C$6*Inputs!$C$7,"")</f>
        <v>#VALUE!</v>
      </c>
      <c r="R59" s="23" t="str">
        <f>IF(C59="BC",'Rate Model'!$C$19,IF(C59="DBM",'Rate Model'!$E$19,""))</f>
        <v/>
      </c>
      <c r="S59" s="11" t="e">
        <f t="shared" si="20"/>
        <v>#VALUE!</v>
      </c>
      <c r="T59" s="11" t="str">
        <f>IF(A59&lt;&gt;"",Inputs!$C$47,"")</f>
        <v/>
      </c>
      <c r="U59" s="11" t="str">
        <f>IF(A59&lt;&gt;"",Inputs!$C$48,"")</f>
        <v/>
      </c>
      <c r="V59" s="11">
        <v>2</v>
      </c>
      <c r="W59" s="11" t="str">
        <f>IF(A59&lt;&gt;"",Inputs!$C$49,"")</f>
        <v/>
      </c>
      <c r="X59" s="23">
        <v>0</v>
      </c>
      <c r="Y59" s="23" t="e">
        <f t="shared" si="21"/>
        <v>#VALUE!</v>
      </c>
      <c r="Z59" s="23" t="e">
        <f t="shared" si="22"/>
        <v>#VALUE!</v>
      </c>
      <c r="AA59" s="5" t="str">
        <f>IF(A59&lt;&gt;"",Inputs!$C$57,"")</f>
        <v/>
      </c>
      <c r="AB59" s="6" t="e">
        <f t="shared" si="23"/>
        <v>#VALUE!</v>
      </c>
      <c r="AC59" s="6"/>
      <c r="AD59" s="23"/>
      <c r="AE59" s="23">
        <f>IF(AND(J59&gt;0,AC59&gt;0),J59*AC59*Inputs!$C$71,0)</f>
        <v>0</v>
      </c>
      <c r="AF59" s="23">
        <f>IF(AND(J59&gt;0,AD59&gt;0),J59*AD59*Inputs!$C$72,0)</f>
        <v>0</v>
      </c>
      <c r="AG59" s="23" t="e">
        <f t="shared" si="24"/>
        <v>#VALUE!</v>
      </c>
      <c r="AH59" s="23" t="e">
        <f t="shared" si="25"/>
        <v>#VALUE!</v>
      </c>
      <c r="AI59" s="23" t="e">
        <f t="shared" si="26"/>
        <v>#VALUE!</v>
      </c>
      <c r="AJ59" s="23" t="e">
        <f t="shared" si="27"/>
        <v>#VALUE!</v>
      </c>
    </row>
    <row r="60" spans="1:36" x14ac:dyDescent="0.2">
      <c r="A60" s="6"/>
      <c r="B60" s="6"/>
      <c r="C60" s="6"/>
      <c r="D60" s="6"/>
      <c r="E60" s="11"/>
      <c r="F60" s="11"/>
      <c r="G60" s="11"/>
      <c r="H60" s="11"/>
      <c r="I60" s="10" t="str">
        <f t="shared" si="14"/>
        <v/>
      </c>
      <c r="J60" s="10" t="str">
        <f t="shared" si="15"/>
        <v/>
      </c>
      <c r="K60" s="14" t="str">
        <f t="shared" si="16"/>
        <v/>
      </c>
      <c r="L60" s="10" t="str">
        <f>IF(C60="BC",'Mix Design'!$B$9,IF(C60="DBM",'Mix Design'!$C$9,""))</f>
        <v/>
      </c>
      <c r="M60" s="10" t="str">
        <f>IF(C60="BC",Inputs!$C$17,IF(C60="DBM",Inputs!$C$18,""))</f>
        <v/>
      </c>
      <c r="N60" s="10" t="e">
        <f t="shared" si="17"/>
        <v>#VALUE!</v>
      </c>
      <c r="O60" s="10" t="e">
        <f t="shared" si="18"/>
        <v>#VALUE!</v>
      </c>
      <c r="P60" s="10" t="e">
        <f t="shared" si="19"/>
        <v>#VALUE!</v>
      </c>
      <c r="Q60" s="23" t="e">
        <f>IF(AND(P60&gt;0,Inputs!$C$6&gt;0),P60/Inputs!$C$6*Inputs!$C$7,"")</f>
        <v>#VALUE!</v>
      </c>
      <c r="R60" s="23" t="str">
        <f>IF(C60="BC",'Rate Model'!$C$19,IF(C60="DBM",'Rate Model'!$E$19,""))</f>
        <v/>
      </c>
      <c r="S60" s="11" t="e">
        <f t="shared" si="20"/>
        <v>#VALUE!</v>
      </c>
      <c r="T60" s="11" t="str">
        <f>IF(A60&lt;&gt;"",Inputs!$C$47,"")</f>
        <v/>
      </c>
      <c r="U60" s="11" t="str">
        <f>IF(A60&lt;&gt;"",Inputs!$C$48,"")</f>
        <v/>
      </c>
      <c r="V60" s="11">
        <v>2</v>
      </c>
      <c r="W60" s="11" t="str">
        <f>IF(A60&lt;&gt;"",Inputs!$C$49,"")</f>
        <v/>
      </c>
      <c r="X60" s="23">
        <v>0</v>
      </c>
      <c r="Y60" s="23" t="e">
        <f t="shared" si="21"/>
        <v>#VALUE!</v>
      </c>
      <c r="Z60" s="23" t="e">
        <f t="shared" si="22"/>
        <v>#VALUE!</v>
      </c>
      <c r="AA60" s="5" t="str">
        <f>IF(A60&lt;&gt;"",Inputs!$C$57,"")</f>
        <v/>
      </c>
      <c r="AB60" s="6" t="e">
        <f t="shared" si="23"/>
        <v>#VALUE!</v>
      </c>
      <c r="AC60" s="6"/>
      <c r="AD60" s="23"/>
      <c r="AE60" s="23">
        <f>IF(AND(J60&gt;0,AC60&gt;0),J60*AC60*Inputs!$C$71,0)</f>
        <v>0</v>
      </c>
      <c r="AF60" s="23">
        <f>IF(AND(J60&gt;0,AD60&gt;0),J60*AD60*Inputs!$C$72,0)</f>
        <v>0</v>
      </c>
      <c r="AG60" s="23" t="e">
        <f t="shared" si="24"/>
        <v>#VALUE!</v>
      </c>
      <c r="AH60" s="23" t="e">
        <f t="shared" si="25"/>
        <v>#VALUE!</v>
      </c>
      <c r="AI60" s="23" t="e">
        <f t="shared" si="26"/>
        <v>#VALUE!</v>
      </c>
      <c r="AJ60" s="23" t="e">
        <f t="shared" si="27"/>
        <v>#VALUE!</v>
      </c>
    </row>
    <row r="61" spans="1:36" x14ac:dyDescent="0.2">
      <c r="A61" s="6"/>
      <c r="B61" s="6"/>
      <c r="C61" s="6"/>
      <c r="D61" s="6"/>
      <c r="E61" s="11"/>
      <c r="F61" s="11"/>
      <c r="G61" s="11"/>
      <c r="H61" s="11"/>
      <c r="I61" s="10" t="str">
        <f t="shared" si="14"/>
        <v/>
      </c>
      <c r="J61" s="10" t="str">
        <f t="shared" si="15"/>
        <v/>
      </c>
      <c r="K61" s="14" t="str">
        <f t="shared" si="16"/>
        <v/>
      </c>
      <c r="L61" s="10" t="str">
        <f>IF(C61="BC",'Mix Design'!$B$9,IF(C61="DBM",'Mix Design'!$C$9,""))</f>
        <v/>
      </c>
      <c r="M61" s="10" t="str">
        <f>IF(C61="BC",Inputs!$C$17,IF(C61="DBM",Inputs!$C$18,""))</f>
        <v/>
      </c>
      <c r="N61" s="10" t="e">
        <f t="shared" si="17"/>
        <v>#VALUE!</v>
      </c>
      <c r="O61" s="10" t="e">
        <f t="shared" si="18"/>
        <v>#VALUE!</v>
      </c>
      <c r="P61" s="10" t="e">
        <f t="shared" si="19"/>
        <v>#VALUE!</v>
      </c>
      <c r="Q61" s="23" t="e">
        <f>IF(AND(P61&gt;0,Inputs!$C$6&gt;0),P61/Inputs!$C$6*Inputs!$C$7,"")</f>
        <v>#VALUE!</v>
      </c>
      <c r="R61" s="23" t="str">
        <f>IF(C61="BC",'Rate Model'!$C$19,IF(C61="DBM",'Rate Model'!$E$19,""))</f>
        <v/>
      </c>
      <c r="S61" s="11" t="e">
        <f t="shared" si="20"/>
        <v>#VALUE!</v>
      </c>
      <c r="T61" s="11" t="str">
        <f>IF(A61&lt;&gt;"",Inputs!$C$47,"")</f>
        <v/>
      </c>
      <c r="U61" s="11" t="str">
        <f>IF(A61&lt;&gt;"",Inputs!$C$48,"")</f>
        <v/>
      </c>
      <c r="V61" s="11">
        <v>2</v>
      </c>
      <c r="W61" s="11" t="str">
        <f>IF(A61&lt;&gt;"",Inputs!$C$49,"")</f>
        <v/>
      </c>
      <c r="X61" s="23">
        <v>0</v>
      </c>
      <c r="Y61" s="23" t="e">
        <f t="shared" si="21"/>
        <v>#VALUE!</v>
      </c>
      <c r="Z61" s="23" t="e">
        <f t="shared" si="22"/>
        <v>#VALUE!</v>
      </c>
      <c r="AA61" s="5" t="str">
        <f>IF(A61&lt;&gt;"",Inputs!$C$57,"")</f>
        <v/>
      </c>
      <c r="AB61" s="6" t="e">
        <f t="shared" si="23"/>
        <v>#VALUE!</v>
      </c>
      <c r="AC61" s="6"/>
      <c r="AD61" s="23"/>
      <c r="AE61" s="23">
        <f>IF(AND(J61&gt;0,AC61&gt;0),J61*AC61*Inputs!$C$71,0)</f>
        <v>0</v>
      </c>
      <c r="AF61" s="23">
        <f>IF(AND(J61&gt;0,AD61&gt;0),J61*AD61*Inputs!$C$72,0)</f>
        <v>0</v>
      </c>
      <c r="AG61" s="23" t="e">
        <f t="shared" si="24"/>
        <v>#VALUE!</v>
      </c>
      <c r="AH61" s="23" t="e">
        <f t="shared" si="25"/>
        <v>#VALUE!</v>
      </c>
      <c r="AI61" s="23" t="e">
        <f t="shared" si="26"/>
        <v>#VALUE!</v>
      </c>
      <c r="AJ61" s="23" t="e">
        <f t="shared" si="27"/>
        <v>#VALUE!</v>
      </c>
    </row>
    <row r="62" spans="1:36" x14ac:dyDescent="0.2">
      <c r="A62" s="6"/>
      <c r="B62" s="6"/>
      <c r="C62" s="6"/>
      <c r="D62" s="6"/>
      <c r="E62" s="11"/>
      <c r="F62" s="11"/>
      <c r="G62" s="11"/>
      <c r="H62" s="11"/>
      <c r="I62" s="10" t="str">
        <f t="shared" si="14"/>
        <v/>
      </c>
      <c r="J62" s="10" t="str">
        <f t="shared" si="15"/>
        <v/>
      </c>
      <c r="K62" s="14" t="str">
        <f t="shared" si="16"/>
        <v/>
      </c>
      <c r="L62" s="10" t="str">
        <f>IF(C62="BC",'Mix Design'!$B$9,IF(C62="DBM",'Mix Design'!$C$9,""))</f>
        <v/>
      </c>
      <c r="M62" s="10" t="str">
        <f>IF(C62="BC",Inputs!$C$17,IF(C62="DBM",Inputs!$C$18,""))</f>
        <v/>
      </c>
      <c r="N62" s="10" t="e">
        <f t="shared" si="17"/>
        <v>#VALUE!</v>
      </c>
      <c r="O62" s="10" t="e">
        <f t="shared" si="18"/>
        <v>#VALUE!</v>
      </c>
      <c r="P62" s="10" t="e">
        <f t="shared" si="19"/>
        <v>#VALUE!</v>
      </c>
      <c r="Q62" s="23" t="e">
        <f>IF(AND(P62&gt;0,Inputs!$C$6&gt;0),P62/Inputs!$C$6*Inputs!$C$7,"")</f>
        <v>#VALUE!</v>
      </c>
      <c r="R62" s="23" t="str">
        <f>IF(C62="BC",'Rate Model'!$C$19,IF(C62="DBM",'Rate Model'!$E$19,""))</f>
        <v/>
      </c>
      <c r="S62" s="11" t="e">
        <f t="shared" si="20"/>
        <v>#VALUE!</v>
      </c>
      <c r="T62" s="11" t="str">
        <f>IF(A62&lt;&gt;"",Inputs!$C$47,"")</f>
        <v/>
      </c>
      <c r="U62" s="11" t="str">
        <f>IF(A62&lt;&gt;"",Inputs!$C$48,"")</f>
        <v/>
      </c>
      <c r="V62" s="11">
        <v>2</v>
      </c>
      <c r="W62" s="11" t="str">
        <f>IF(A62&lt;&gt;"",Inputs!$C$49,"")</f>
        <v/>
      </c>
      <c r="X62" s="23">
        <v>0</v>
      </c>
      <c r="Y62" s="23" t="e">
        <f t="shared" si="21"/>
        <v>#VALUE!</v>
      </c>
      <c r="Z62" s="23" t="e">
        <f t="shared" si="22"/>
        <v>#VALUE!</v>
      </c>
      <c r="AA62" s="5" t="str">
        <f>IF(A62&lt;&gt;"",Inputs!$C$57,"")</f>
        <v/>
      </c>
      <c r="AB62" s="6" t="e">
        <f t="shared" si="23"/>
        <v>#VALUE!</v>
      </c>
      <c r="AC62" s="6"/>
      <c r="AD62" s="23"/>
      <c r="AE62" s="23">
        <f>IF(AND(J62&gt;0,AC62&gt;0),J62*AC62*Inputs!$C$71,0)</f>
        <v>0</v>
      </c>
      <c r="AF62" s="23">
        <f>IF(AND(J62&gt;0,AD62&gt;0),J62*AD62*Inputs!$C$72,0)</f>
        <v>0</v>
      </c>
      <c r="AG62" s="23" t="e">
        <f t="shared" si="24"/>
        <v>#VALUE!</v>
      </c>
      <c r="AH62" s="23" t="e">
        <f t="shared" si="25"/>
        <v>#VALUE!</v>
      </c>
      <c r="AI62" s="23" t="e">
        <f t="shared" si="26"/>
        <v>#VALUE!</v>
      </c>
      <c r="AJ62" s="23" t="e">
        <f t="shared" si="27"/>
        <v>#VALUE!</v>
      </c>
    </row>
    <row r="63" spans="1:36" x14ac:dyDescent="0.2">
      <c r="A63" s="6"/>
      <c r="B63" s="6"/>
      <c r="C63" s="6"/>
      <c r="D63" s="6"/>
      <c r="E63" s="11"/>
      <c r="F63" s="11"/>
      <c r="G63" s="11"/>
      <c r="H63" s="11"/>
      <c r="I63" s="10" t="str">
        <f t="shared" si="14"/>
        <v/>
      </c>
      <c r="J63" s="10" t="str">
        <f t="shared" si="15"/>
        <v/>
      </c>
      <c r="K63" s="14" t="str">
        <f t="shared" si="16"/>
        <v/>
      </c>
      <c r="L63" s="10" t="str">
        <f>IF(C63="BC",'Mix Design'!$B$9,IF(C63="DBM",'Mix Design'!$C$9,""))</f>
        <v/>
      </c>
      <c r="M63" s="10" t="str">
        <f>IF(C63="BC",Inputs!$C$17,IF(C63="DBM",Inputs!$C$18,""))</f>
        <v/>
      </c>
      <c r="N63" s="10" t="e">
        <f t="shared" si="17"/>
        <v>#VALUE!</v>
      </c>
      <c r="O63" s="10" t="e">
        <f t="shared" si="18"/>
        <v>#VALUE!</v>
      </c>
      <c r="P63" s="10" t="e">
        <f t="shared" si="19"/>
        <v>#VALUE!</v>
      </c>
      <c r="Q63" s="23" t="e">
        <f>IF(AND(P63&gt;0,Inputs!$C$6&gt;0),P63/Inputs!$C$6*Inputs!$C$7,"")</f>
        <v>#VALUE!</v>
      </c>
      <c r="R63" s="23" t="str">
        <f>IF(C63="BC",'Rate Model'!$C$19,IF(C63="DBM",'Rate Model'!$E$19,""))</f>
        <v/>
      </c>
      <c r="S63" s="11" t="e">
        <f t="shared" si="20"/>
        <v>#VALUE!</v>
      </c>
      <c r="T63" s="11" t="str">
        <f>IF(A63&lt;&gt;"",Inputs!$C$47,"")</f>
        <v/>
      </c>
      <c r="U63" s="11" t="str">
        <f>IF(A63&lt;&gt;"",Inputs!$C$48,"")</f>
        <v/>
      </c>
      <c r="V63" s="11">
        <v>2</v>
      </c>
      <c r="W63" s="11" t="str">
        <f>IF(A63&lt;&gt;"",Inputs!$C$49,"")</f>
        <v/>
      </c>
      <c r="X63" s="23">
        <v>0</v>
      </c>
      <c r="Y63" s="23" t="e">
        <f t="shared" si="21"/>
        <v>#VALUE!</v>
      </c>
      <c r="Z63" s="23" t="e">
        <f t="shared" si="22"/>
        <v>#VALUE!</v>
      </c>
      <c r="AA63" s="5" t="str">
        <f>IF(A63&lt;&gt;"",Inputs!$C$57,"")</f>
        <v/>
      </c>
      <c r="AB63" s="6" t="e">
        <f t="shared" si="23"/>
        <v>#VALUE!</v>
      </c>
      <c r="AC63" s="6"/>
      <c r="AD63" s="23"/>
      <c r="AE63" s="23">
        <f>IF(AND(J63&gt;0,AC63&gt;0),J63*AC63*Inputs!$C$71,0)</f>
        <v>0</v>
      </c>
      <c r="AF63" s="23">
        <f>IF(AND(J63&gt;0,AD63&gt;0),J63*AD63*Inputs!$C$72,0)</f>
        <v>0</v>
      </c>
      <c r="AG63" s="23" t="e">
        <f t="shared" si="24"/>
        <v>#VALUE!</v>
      </c>
      <c r="AH63" s="23" t="e">
        <f t="shared" si="25"/>
        <v>#VALUE!</v>
      </c>
      <c r="AI63" s="23" t="e">
        <f t="shared" si="26"/>
        <v>#VALUE!</v>
      </c>
      <c r="AJ63" s="23" t="e">
        <f t="shared" si="27"/>
        <v>#VALUE!</v>
      </c>
    </row>
    <row r="64" spans="1:36" x14ac:dyDescent="0.2">
      <c r="A64" s="6"/>
      <c r="B64" s="6"/>
      <c r="C64" s="6"/>
      <c r="D64" s="6"/>
      <c r="E64" s="11"/>
      <c r="F64" s="11"/>
      <c r="G64" s="11"/>
      <c r="H64" s="11"/>
      <c r="I64" s="10" t="str">
        <f t="shared" si="14"/>
        <v/>
      </c>
      <c r="J64" s="10" t="str">
        <f t="shared" si="15"/>
        <v/>
      </c>
      <c r="K64" s="14" t="str">
        <f t="shared" si="16"/>
        <v/>
      </c>
      <c r="L64" s="10" t="str">
        <f>IF(C64="BC",'Mix Design'!$B$9,IF(C64="DBM",'Mix Design'!$C$9,""))</f>
        <v/>
      </c>
      <c r="M64" s="10" t="str">
        <f>IF(C64="BC",Inputs!$C$17,IF(C64="DBM",Inputs!$C$18,""))</f>
        <v/>
      </c>
      <c r="N64" s="10" t="e">
        <f t="shared" si="17"/>
        <v>#VALUE!</v>
      </c>
      <c r="O64" s="10" t="e">
        <f t="shared" si="18"/>
        <v>#VALUE!</v>
      </c>
      <c r="P64" s="10" t="e">
        <f t="shared" si="19"/>
        <v>#VALUE!</v>
      </c>
      <c r="Q64" s="23" t="e">
        <f>IF(AND(P64&gt;0,Inputs!$C$6&gt;0),P64/Inputs!$C$6*Inputs!$C$7,"")</f>
        <v>#VALUE!</v>
      </c>
      <c r="R64" s="23" t="str">
        <f>IF(C64="BC",'Rate Model'!$C$19,IF(C64="DBM",'Rate Model'!$E$19,""))</f>
        <v/>
      </c>
      <c r="S64" s="11" t="e">
        <f t="shared" si="20"/>
        <v>#VALUE!</v>
      </c>
      <c r="T64" s="11" t="str">
        <f>IF(A64&lt;&gt;"",Inputs!$C$47,"")</f>
        <v/>
      </c>
      <c r="U64" s="11" t="str">
        <f>IF(A64&lt;&gt;"",Inputs!$C$48,"")</f>
        <v/>
      </c>
      <c r="V64" s="11">
        <v>2</v>
      </c>
      <c r="W64" s="11" t="str">
        <f>IF(A64&lt;&gt;"",Inputs!$C$49,"")</f>
        <v/>
      </c>
      <c r="X64" s="23">
        <v>0</v>
      </c>
      <c r="Y64" s="23" t="e">
        <f t="shared" si="21"/>
        <v>#VALUE!</v>
      </c>
      <c r="Z64" s="23" t="e">
        <f t="shared" si="22"/>
        <v>#VALUE!</v>
      </c>
      <c r="AA64" s="5" t="str">
        <f>IF(A64&lt;&gt;"",Inputs!$C$57,"")</f>
        <v/>
      </c>
      <c r="AB64" s="6" t="e">
        <f t="shared" si="23"/>
        <v>#VALUE!</v>
      </c>
      <c r="AC64" s="6"/>
      <c r="AD64" s="23"/>
      <c r="AE64" s="23">
        <f>IF(AND(J64&gt;0,AC64&gt;0),J64*AC64*Inputs!$C$71,0)</f>
        <v>0</v>
      </c>
      <c r="AF64" s="23">
        <f>IF(AND(J64&gt;0,AD64&gt;0),J64*AD64*Inputs!$C$72,0)</f>
        <v>0</v>
      </c>
      <c r="AG64" s="23" t="e">
        <f t="shared" si="24"/>
        <v>#VALUE!</v>
      </c>
      <c r="AH64" s="23" t="e">
        <f t="shared" si="25"/>
        <v>#VALUE!</v>
      </c>
      <c r="AI64" s="23" t="e">
        <f t="shared" si="26"/>
        <v>#VALUE!</v>
      </c>
      <c r="AJ64" s="23" t="e">
        <f t="shared" si="27"/>
        <v>#VALUE!</v>
      </c>
    </row>
    <row r="65" spans="1:36" x14ac:dyDescent="0.2">
      <c r="A65" s="6"/>
      <c r="B65" s="6"/>
      <c r="C65" s="6"/>
      <c r="D65" s="6"/>
      <c r="E65" s="11"/>
      <c r="F65" s="11"/>
      <c r="G65" s="11"/>
      <c r="H65" s="11"/>
      <c r="I65" s="10" t="str">
        <f t="shared" si="14"/>
        <v/>
      </c>
      <c r="J65" s="10" t="str">
        <f t="shared" si="15"/>
        <v/>
      </c>
      <c r="K65" s="14" t="str">
        <f t="shared" si="16"/>
        <v/>
      </c>
      <c r="L65" s="10" t="str">
        <f>IF(C65="BC",'Mix Design'!$B$9,IF(C65="DBM",'Mix Design'!$C$9,""))</f>
        <v/>
      </c>
      <c r="M65" s="10" t="str">
        <f>IF(C65="BC",Inputs!$C$17,IF(C65="DBM",Inputs!$C$18,""))</f>
        <v/>
      </c>
      <c r="N65" s="10" t="e">
        <f t="shared" si="17"/>
        <v>#VALUE!</v>
      </c>
      <c r="O65" s="10" t="e">
        <f t="shared" si="18"/>
        <v>#VALUE!</v>
      </c>
      <c r="P65" s="10" t="e">
        <f t="shared" si="19"/>
        <v>#VALUE!</v>
      </c>
      <c r="Q65" s="23" t="e">
        <f>IF(AND(P65&gt;0,Inputs!$C$6&gt;0),P65/Inputs!$C$6*Inputs!$C$7,"")</f>
        <v>#VALUE!</v>
      </c>
      <c r="R65" s="23" t="str">
        <f>IF(C65="BC",'Rate Model'!$C$19,IF(C65="DBM",'Rate Model'!$E$19,""))</f>
        <v/>
      </c>
      <c r="S65" s="11" t="e">
        <f t="shared" si="20"/>
        <v>#VALUE!</v>
      </c>
      <c r="T65" s="11" t="str">
        <f>IF(A65&lt;&gt;"",Inputs!$C$47,"")</f>
        <v/>
      </c>
      <c r="U65" s="11" t="str">
        <f>IF(A65&lt;&gt;"",Inputs!$C$48,"")</f>
        <v/>
      </c>
      <c r="V65" s="11">
        <v>2</v>
      </c>
      <c r="W65" s="11" t="str">
        <f>IF(A65&lt;&gt;"",Inputs!$C$49,"")</f>
        <v/>
      </c>
      <c r="X65" s="23">
        <v>0</v>
      </c>
      <c r="Y65" s="23" t="e">
        <f t="shared" si="21"/>
        <v>#VALUE!</v>
      </c>
      <c r="Z65" s="23" t="e">
        <f t="shared" si="22"/>
        <v>#VALUE!</v>
      </c>
      <c r="AA65" s="5" t="str">
        <f>IF(A65&lt;&gt;"",Inputs!$C$57,"")</f>
        <v/>
      </c>
      <c r="AB65" s="6" t="e">
        <f t="shared" si="23"/>
        <v>#VALUE!</v>
      </c>
      <c r="AC65" s="6"/>
      <c r="AD65" s="23"/>
      <c r="AE65" s="23">
        <f>IF(AND(J65&gt;0,AC65&gt;0),J65*AC65*Inputs!$C$71,0)</f>
        <v>0</v>
      </c>
      <c r="AF65" s="23">
        <f>IF(AND(J65&gt;0,AD65&gt;0),J65*AD65*Inputs!$C$72,0)</f>
        <v>0</v>
      </c>
      <c r="AG65" s="23" t="e">
        <f t="shared" si="24"/>
        <v>#VALUE!</v>
      </c>
      <c r="AH65" s="23" t="e">
        <f t="shared" si="25"/>
        <v>#VALUE!</v>
      </c>
      <c r="AI65" s="23" t="e">
        <f t="shared" si="26"/>
        <v>#VALUE!</v>
      </c>
      <c r="AJ65" s="23" t="e">
        <f t="shared" si="27"/>
        <v>#VALUE!</v>
      </c>
    </row>
    <row r="66" spans="1:36" x14ac:dyDescent="0.2">
      <c r="A66" s="6"/>
      <c r="B66" s="6"/>
      <c r="C66" s="6"/>
      <c r="D66" s="6"/>
      <c r="E66" s="11"/>
      <c r="F66" s="11"/>
      <c r="G66" s="11"/>
      <c r="H66" s="11"/>
      <c r="I66" s="10" t="str">
        <f t="shared" si="14"/>
        <v/>
      </c>
      <c r="J66" s="10" t="str">
        <f t="shared" si="15"/>
        <v/>
      </c>
      <c r="K66" s="14" t="str">
        <f t="shared" si="16"/>
        <v/>
      </c>
      <c r="L66" s="10" t="str">
        <f>IF(C66="BC",'Mix Design'!$B$9,IF(C66="DBM",'Mix Design'!$C$9,""))</f>
        <v/>
      </c>
      <c r="M66" s="10" t="str">
        <f>IF(C66="BC",Inputs!$C$17,IF(C66="DBM",Inputs!$C$18,""))</f>
        <v/>
      </c>
      <c r="N66" s="10" t="e">
        <f t="shared" si="17"/>
        <v>#VALUE!</v>
      </c>
      <c r="O66" s="10" t="e">
        <f t="shared" si="18"/>
        <v>#VALUE!</v>
      </c>
      <c r="P66" s="10" t="e">
        <f t="shared" si="19"/>
        <v>#VALUE!</v>
      </c>
      <c r="Q66" s="23" t="e">
        <f>IF(AND(P66&gt;0,Inputs!$C$6&gt;0),P66/Inputs!$C$6*Inputs!$C$7,"")</f>
        <v>#VALUE!</v>
      </c>
      <c r="R66" s="23" t="str">
        <f>IF(C66="BC",'Rate Model'!$C$19,IF(C66="DBM",'Rate Model'!$E$19,""))</f>
        <v/>
      </c>
      <c r="S66" s="11" t="e">
        <f t="shared" si="20"/>
        <v>#VALUE!</v>
      </c>
      <c r="T66" s="11" t="str">
        <f>IF(A66&lt;&gt;"",Inputs!$C$47,"")</f>
        <v/>
      </c>
      <c r="U66" s="11" t="str">
        <f>IF(A66&lt;&gt;"",Inputs!$C$48,"")</f>
        <v/>
      </c>
      <c r="V66" s="11">
        <v>2</v>
      </c>
      <c r="W66" s="11" t="str">
        <f>IF(A66&lt;&gt;"",Inputs!$C$49,"")</f>
        <v/>
      </c>
      <c r="X66" s="23">
        <v>0</v>
      </c>
      <c r="Y66" s="23" t="e">
        <f t="shared" si="21"/>
        <v>#VALUE!</v>
      </c>
      <c r="Z66" s="23" t="e">
        <f t="shared" si="22"/>
        <v>#VALUE!</v>
      </c>
      <c r="AA66" s="5" t="str">
        <f>IF(A66&lt;&gt;"",Inputs!$C$57,"")</f>
        <v/>
      </c>
      <c r="AB66" s="6" t="e">
        <f t="shared" si="23"/>
        <v>#VALUE!</v>
      </c>
      <c r="AC66" s="6"/>
      <c r="AD66" s="23"/>
      <c r="AE66" s="23">
        <f>IF(AND(J66&gt;0,AC66&gt;0),J66*AC66*Inputs!$C$71,0)</f>
        <v>0</v>
      </c>
      <c r="AF66" s="23">
        <f>IF(AND(J66&gt;0,AD66&gt;0),J66*AD66*Inputs!$C$72,0)</f>
        <v>0</v>
      </c>
      <c r="AG66" s="23" t="e">
        <f t="shared" si="24"/>
        <v>#VALUE!</v>
      </c>
      <c r="AH66" s="23" t="e">
        <f t="shared" si="25"/>
        <v>#VALUE!</v>
      </c>
      <c r="AI66" s="23" t="e">
        <f t="shared" si="26"/>
        <v>#VALUE!</v>
      </c>
      <c r="AJ66" s="23" t="e">
        <f t="shared" si="27"/>
        <v>#VALUE!</v>
      </c>
    </row>
    <row r="67" spans="1:36" x14ac:dyDescent="0.2">
      <c r="A67" s="6"/>
      <c r="B67" s="6"/>
      <c r="C67" s="6"/>
      <c r="D67" s="6"/>
      <c r="E67" s="11"/>
      <c r="F67" s="11"/>
      <c r="G67" s="11"/>
      <c r="H67" s="11"/>
      <c r="I67" s="10" t="str">
        <f t="shared" si="14"/>
        <v/>
      </c>
      <c r="J67" s="10" t="str">
        <f t="shared" si="15"/>
        <v/>
      </c>
      <c r="K67" s="14" t="str">
        <f t="shared" si="16"/>
        <v/>
      </c>
      <c r="L67" s="10" t="str">
        <f>IF(C67="BC",'Mix Design'!$B$9,IF(C67="DBM",'Mix Design'!$C$9,""))</f>
        <v/>
      </c>
      <c r="M67" s="10" t="str">
        <f>IF(C67="BC",Inputs!$C$17,IF(C67="DBM",Inputs!$C$18,""))</f>
        <v/>
      </c>
      <c r="N67" s="10" t="e">
        <f t="shared" si="17"/>
        <v>#VALUE!</v>
      </c>
      <c r="O67" s="10" t="e">
        <f t="shared" si="18"/>
        <v>#VALUE!</v>
      </c>
      <c r="P67" s="10" t="e">
        <f t="shared" si="19"/>
        <v>#VALUE!</v>
      </c>
      <c r="Q67" s="23" t="e">
        <f>IF(AND(P67&gt;0,Inputs!$C$6&gt;0),P67/Inputs!$C$6*Inputs!$C$7,"")</f>
        <v>#VALUE!</v>
      </c>
      <c r="R67" s="23" t="str">
        <f>IF(C67="BC",'Rate Model'!$C$19,IF(C67="DBM",'Rate Model'!$E$19,""))</f>
        <v/>
      </c>
      <c r="S67" s="11" t="e">
        <f t="shared" si="20"/>
        <v>#VALUE!</v>
      </c>
      <c r="T67" s="11" t="str">
        <f>IF(A67&lt;&gt;"",Inputs!$C$47,"")</f>
        <v/>
      </c>
      <c r="U67" s="11" t="str">
        <f>IF(A67&lt;&gt;"",Inputs!$C$48,"")</f>
        <v/>
      </c>
      <c r="V67" s="11">
        <v>2</v>
      </c>
      <c r="W67" s="11" t="str">
        <f>IF(A67&lt;&gt;"",Inputs!$C$49,"")</f>
        <v/>
      </c>
      <c r="X67" s="23">
        <v>0</v>
      </c>
      <c r="Y67" s="23" t="e">
        <f t="shared" si="21"/>
        <v>#VALUE!</v>
      </c>
      <c r="Z67" s="23" t="e">
        <f t="shared" si="22"/>
        <v>#VALUE!</v>
      </c>
      <c r="AA67" s="5" t="str">
        <f>IF(A67&lt;&gt;"",Inputs!$C$57,"")</f>
        <v/>
      </c>
      <c r="AB67" s="6" t="e">
        <f t="shared" si="23"/>
        <v>#VALUE!</v>
      </c>
      <c r="AC67" s="6"/>
      <c r="AD67" s="23"/>
      <c r="AE67" s="23">
        <f>IF(AND(J67&gt;0,AC67&gt;0),J67*AC67*Inputs!$C$71,0)</f>
        <v>0</v>
      </c>
      <c r="AF67" s="23">
        <f>IF(AND(J67&gt;0,AD67&gt;0),J67*AD67*Inputs!$C$72,0)</f>
        <v>0</v>
      </c>
      <c r="AG67" s="23" t="e">
        <f t="shared" si="24"/>
        <v>#VALUE!</v>
      </c>
      <c r="AH67" s="23" t="e">
        <f t="shared" si="25"/>
        <v>#VALUE!</v>
      </c>
      <c r="AI67" s="23" t="e">
        <f t="shared" si="26"/>
        <v>#VALUE!</v>
      </c>
      <c r="AJ67" s="23" t="e">
        <f t="shared" si="27"/>
        <v>#VALUE!</v>
      </c>
    </row>
    <row r="68" spans="1:36" x14ac:dyDescent="0.2">
      <c r="A68" s="6"/>
      <c r="B68" s="6"/>
      <c r="C68" s="6"/>
      <c r="D68" s="6"/>
      <c r="E68" s="11"/>
      <c r="F68" s="11"/>
      <c r="G68" s="11"/>
      <c r="H68" s="11"/>
      <c r="I68" s="10" t="str">
        <f t="shared" ref="I68:I99" si="28">IF(D68="GEOMETRY",IF(AND(E68&gt;0,F68&gt;0,G68&gt;0),E68*F68*(G68/1000),""),IF(AND(H68&gt;0,G68&gt;0),H68,""))</f>
        <v/>
      </c>
      <c r="J68" s="10" t="str">
        <f t="shared" ref="J68:J99" si="29">IF(AND(I68&gt;0,G68&gt;0),I68/(G68/1000),"")</f>
        <v/>
      </c>
      <c r="K68" s="14" t="str">
        <f t="shared" ref="K68:K99" si="30">IF(AND(J68&gt;0,F68&gt;0),J68/F68,"")</f>
        <v/>
      </c>
      <c r="L68" s="10" t="str">
        <f>IF(C68="BC",'Mix Design'!$B$9,IF(C68="DBM",'Mix Design'!$C$9,""))</f>
        <v/>
      </c>
      <c r="M68" s="10" t="str">
        <f>IF(C68="BC",Inputs!$C$17,IF(C68="DBM",Inputs!$C$18,""))</f>
        <v/>
      </c>
      <c r="N68" s="10" t="e">
        <f t="shared" ref="N68:N99" si="31">IF(AND(I68&gt;0,M68&gt;0),I68*M68,"")</f>
        <v>#VALUE!</v>
      </c>
      <c r="O68" s="10" t="e">
        <f t="shared" ref="O68:O99" si="32">IF(AND(N68&gt;0,L68&gt;0),N68*L68,"")</f>
        <v>#VALUE!</v>
      </c>
      <c r="P68" s="10" t="e">
        <f t="shared" ref="P68:P99" si="33">IF(AND(N68&gt;0,O68&gt;0),N68-O68,"")</f>
        <v>#VALUE!</v>
      </c>
      <c r="Q68" s="23" t="e">
        <f>IF(AND(P68&gt;0,Inputs!$C$6&gt;0),P68/Inputs!$C$6*Inputs!$C$7,"")</f>
        <v>#VALUE!</v>
      </c>
      <c r="R68" s="23" t="str">
        <f>IF(C68="BC",'Rate Model'!$C$19,IF(C68="DBM",'Rate Model'!$E$19,""))</f>
        <v/>
      </c>
      <c r="S68" s="11" t="e">
        <f t="shared" ref="S68:S99" si="34">IF(AND(N68&gt;0,R68&gt;0),N68*R68,"")</f>
        <v>#VALUE!</v>
      </c>
      <c r="T68" s="11" t="str">
        <f>IF(A68&lt;&gt;"",Inputs!$C$47,"")</f>
        <v/>
      </c>
      <c r="U68" s="11" t="str">
        <f>IF(A68&lt;&gt;"",Inputs!$C$48,"")</f>
        <v/>
      </c>
      <c r="V68" s="11">
        <v>2</v>
      </c>
      <c r="W68" s="11" t="str">
        <f>IF(A68&lt;&gt;"",Inputs!$C$49,"")</f>
        <v/>
      </c>
      <c r="X68" s="23">
        <v>0</v>
      </c>
      <c r="Y68" s="23" t="e">
        <f t="shared" ref="Y68:Y99" si="35">IF(AND(T68&gt;0,U68&gt;0,V68&gt;0,W68&gt;0),((T68*U68*V68)+X68)/W68,"")</f>
        <v>#VALUE!</v>
      </c>
      <c r="Z68" s="23" t="e">
        <f t="shared" ref="Z68:Z99" si="36">IF(AND(N68&gt;0,Y68&gt;0),N68*Y68,"")</f>
        <v>#VALUE!</v>
      </c>
      <c r="AA68" s="5" t="str">
        <f>IF(A68&lt;&gt;"",Inputs!$C$57,"")</f>
        <v/>
      </c>
      <c r="AB68" s="6" t="e">
        <f t="shared" ref="AB68:AB99" si="37">IF(AND(N68&gt;0,AA68&gt;0),N68*AA68,"")</f>
        <v>#VALUE!</v>
      </c>
      <c r="AC68" s="6"/>
      <c r="AD68" s="23"/>
      <c r="AE68" s="23">
        <f>IF(AND(J68&gt;0,AC68&gt;0),J68*AC68*Inputs!$C$71,0)</f>
        <v>0</v>
      </c>
      <c r="AF68" s="23">
        <f>IF(AND(J68&gt;0,AD68&gt;0),J68*AD68*Inputs!$C$72,0)</f>
        <v>0</v>
      </c>
      <c r="AG68" s="23" t="e">
        <f t="shared" ref="AG68:AG99" si="38">SUM(S68,Z68,AB68,AE68,AF68)</f>
        <v>#VALUE!</v>
      </c>
      <c r="AH68" s="23" t="e">
        <f t="shared" ref="AH68:AH99" si="39">IF(AND(N68&gt;0,AG68&gt;0),AG68/N68,"")</f>
        <v>#VALUE!</v>
      </c>
      <c r="AI68" s="23" t="e">
        <f t="shared" ref="AI68:AI99" si="40">IF(AND(I68&gt;0,AG68&gt;0),AG68/I68,"")</f>
        <v>#VALUE!</v>
      </c>
      <c r="AJ68" s="23" t="e">
        <f t="shared" ref="AJ68:AJ99" si="41">IF(AND(J68&gt;0,AG68&gt;0),AG68/J68,"")</f>
        <v>#VALUE!</v>
      </c>
    </row>
    <row r="69" spans="1:36" x14ac:dyDescent="0.2">
      <c r="A69" s="6"/>
      <c r="B69" s="6"/>
      <c r="C69" s="6"/>
      <c r="D69" s="6"/>
      <c r="E69" s="11"/>
      <c r="F69" s="11"/>
      <c r="G69" s="11"/>
      <c r="H69" s="11"/>
      <c r="I69" s="10" t="str">
        <f t="shared" si="28"/>
        <v/>
      </c>
      <c r="J69" s="10" t="str">
        <f t="shared" si="29"/>
        <v/>
      </c>
      <c r="K69" s="14" t="str">
        <f t="shared" si="30"/>
        <v/>
      </c>
      <c r="L69" s="10" t="str">
        <f>IF(C69="BC",'Mix Design'!$B$9,IF(C69="DBM",'Mix Design'!$C$9,""))</f>
        <v/>
      </c>
      <c r="M69" s="10" t="str">
        <f>IF(C69="BC",Inputs!$C$17,IF(C69="DBM",Inputs!$C$18,""))</f>
        <v/>
      </c>
      <c r="N69" s="10" t="e">
        <f t="shared" si="31"/>
        <v>#VALUE!</v>
      </c>
      <c r="O69" s="10" t="e">
        <f t="shared" si="32"/>
        <v>#VALUE!</v>
      </c>
      <c r="P69" s="10" t="e">
        <f t="shared" si="33"/>
        <v>#VALUE!</v>
      </c>
      <c r="Q69" s="23" t="e">
        <f>IF(AND(P69&gt;0,Inputs!$C$6&gt;0),P69/Inputs!$C$6*Inputs!$C$7,"")</f>
        <v>#VALUE!</v>
      </c>
      <c r="R69" s="23" t="str">
        <f>IF(C69="BC",'Rate Model'!$C$19,IF(C69="DBM",'Rate Model'!$E$19,""))</f>
        <v/>
      </c>
      <c r="S69" s="11" t="e">
        <f t="shared" si="34"/>
        <v>#VALUE!</v>
      </c>
      <c r="T69" s="11" t="str">
        <f>IF(A69&lt;&gt;"",Inputs!$C$47,"")</f>
        <v/>
      </c>
      <c r="U69" s="11" t="str">
        <f>IF(A69&lt;&gt;"",Inputs!$C$48,"")</f>
        <v/>
      </c>
      <c r="V69" s="11">
        <v>2</v>
      </c>
      <c r="W69" s="11" t="str">
        <f>IF(A69&lt;&gt;"",Inputs!$C$49,"")</f>
        <v/>
      </c>
      <c r="X69" s="23">
        <v>0</v>
      </c>
      <c r="Y69" s="23" t="e">
        <f t="shared" si="35"/>
        <v>#VALUE!</v>
      </c>
      <c r="Z69" s="23" t="e">
        <f t="shared" si="36"/>
        <v>#VALUE!</v>
      </c>
      <c r="AA69" s="5" t="str">
        <f>IF(A69&lt;&gt;"",Inputs!$C$57,"")</f>
        <v/>
      </c>
      <c r="AB69" s="6" t="e">
        <f t="shared" si="37"/>
        <v>#VALUE!</v>
      </c>
      <c r="AC69" s="6"/>
      <c r="AD69" s="23"/>
      <c r="AE69" s="23">
        <f>IF(AND(J69&gt;0,AC69&gt;0),J69*AC69*Inputs!$C$71,0)</f>
        <v>0</v>
      </c>
      <c r="AF69" s="23">
        <f>IF(AND(J69&gt;0,AD69&gt;0),J69*AD69*Inputs!$C$72,0)</f>
        <v>0</v>
      </c>
      <c r="AG69" s="23" t="e">
        <f t="shared" si="38"/>
        <v>#VALUE!</v>
      </c>
      <c r="AH69" s="23" t="e">
        <f t="shared" si="39"/>
        <v>#VALUE!</v>
      </c>
      <c r="AI69" s="23" t="e">
        <f t="shared" si="40"/>
        <v>#VALUE!</v>
      </c>
      <c r="AJ69" s="23" t="e">
        <f t="shared" si="41"/>
        <v>#VALUE!</v>
      </c>
    </row>
    <row r="70" spans="1:36" x14ac:dyDescent="0.2">
      <c r="A70" s="6"/>
      <c r="B70" s="6"/>
      <c r="C70" s="6"/>
      <c r="D70" s="6"/>
      <c r="E70" s="11"/>
      <c r="F70" s="11"/>
      <c r="G70" s="11"/>
      <c r="H70" s="11"/>
      <c r="I70" s="10" t="str">
        <f t="shared" si="28"/>
        <v/>
      </c>
      <c r="J70" s="10" t="str">
        <f t="shared" si="29"/>
        <v/>
      </c>
      <c r="K70" s="14" t="str">
        <f t="shared" si="30"/>
        <v/>
      </c>
      <c r="L70" s="10" t="str">
        <f>IF(C70="BC",'Mix Design'!$B$9,IF(C70="DBM",'Mix Design'!$C$9,""))</f>
        <v/>
      </c>
      <c r="M70" s="10" t="str">
        <f>IF(C70="BC",Inputs!$C$17,IF(C70="DBM",Inputs!$C$18,""))</f>
        <v/>
      </c>
      <c r="N70" s="10" t="e">
        <f t="shared" si="31"/>
        <v>#VALUE!</v>
      </c>
      <c r="O70" s="10" t="e">
        <f t="shared" si="32"/>
        <v>#VALUE!</v>
      </c>
      <c r="P70" s="10" t="e">
        <f t="shared" si="33"/>
        <v>#VALUE!</v>
      </c>
      <c r="Q70" s="23" t="e">
        <f>IF(AND(P70&gt;0,Inputs!$C$6&gt;0),P70/Inputs!$C$6*Inputs!$C$7,"")</f>
        <v>#VALUE!</v>
      </c>
      <c r="R70" s="23" t="str">
        <f>IF(C70="BC",'Rate Model'!$C$19,IF(C70="DBM",'Rate Model'!$E$19,""))</f>
        <v/>
      </c>
      <c r="S70" s="11" t="e">
        <f t="shared" si="34"/>
        <v>#VALUE!</v>
      </c>
      <c r="T70" s="11" t="str">
        <f>IF(A70&lt;&gt;"",Inputs!$C$47,"")</f>
        <v/>
      </c>
      <c r="U70" s="11" t="str">
        <f>IF(A70&lt;&gt;"",Inputs!$C$48,"")</f>
        <v/>
      </c>
      <c r="V70" s="11">
        <v>2</v>
      </c>
      <c r="W70" s="11" t="str">
        <f>IF(A70&lt;&gt;"",Inputs!$C$49,"")</f>
        <v/>
      </c>
      <c r="X70" s="23">
        <v>0</v>
      </c>
      <c r="Y70" s="23" t="e">
        <f t="shared" si="35"/>
        <v>#VALUE!</v>
      </c>
      <c r="Z70" s="23" t="e">
        <f t="shared" si="36"/>
        <v>#VALUE!</v>
      </c>
      <c r="AA70" s="5" t="str">
        <f>IF(A70&lt;&gt;"",Inputs!$C$57,"")</f>
        <v/>
      </c>
      <c r="AB70" s="6" t="e">
        <f t="shared" si="37"/>
        <v>#VALUE!</v>
      </c>
      <c r="AC70" s="6"/>
      <c r="AD70" s="23"/>
      <c r="AE70" s="23">
        <f>IF(AND(J70&gt;0,AC70&gt;0),J70*AC70*Inputs!$C$71,0)</f>
        <v>0</v>
      </c>
      <c r="AF70" s="23">
        <f>IF(AND(J70&gt;0,AD70&gt;0),J70*AD70*Inputs!$C$72,0)</f>
        <v>0</v>
      </c>
      <c r="AG70" s="23" t="e">
        <f t="shared" si="38"/>
        <v>#VALUE!</v>
      </c>
      <c r="AH70" s="23" t="e">
        <f t="shared" si="39"/>
        <v>#VALUE!</v>
      </c>
      <c r="AI70" s="23" t="e">
        <f t="shared" si="40"/>
        <v>#VALUE!</v>
      </c>
      <c r="AJ70" s="23" t="e">
        <f t="shared" si="41"/>
        <v>#VALUE!</v>
      </c>
    </row>
    <row r="71" spans="1:36" x14ac:dyDescent="0.2">
      <c r="A71" s="6"/>
      <c r="B71" s="6"/>
      <c r="C71" s="6"/>
      <c r="D71" s="6"/>
      <c r="E71" s="11"/>
      <c r="F71" s="11"/>
      <c r="G71" s="11"/>
      <c r="H71" s="11"/>
      <c r="I71" s="10" t="str">
        <f t="shared" si="28"/>
        <v/>
      </c>
      <c r="J71" s="10" t="str">
        <f t="shared" si="29"/>
        <v/>
      </c>
      <c r="K71" s="14" t="str">
        <f t="shared" si="30"/>
        <v/>
      </c>
      <c r="L71" s="10" t="str">
        <f>IF(C71="BC",'Mix Design'!$B$9,IF(C71="DBM",'Mix Design'!$C$9,""))</f>
        <v/>
      </c>
      <c r="M71" s="10" t="str">
        <f>IF(C71="BC",Inputs!$C$17,IF(C71="DBM",Inputs!$C$18,""))</f>
        <v/>
      </c>
      <c r="N71" s="10" t="e">
        <f t="shared" si="31"/>
        <v>#VALUE!</v>
      </c>
      <c r="O71" s="10" t="e">
        <f t="shared" si="32"/>
        <v>#VALUE!</v>
      </c>
      <c r="P71" s="10" t="e">
        <f t="shared" si="33"/>
        <v>#VALUE!</v>
      </c>
      <c r="Q71" s="23" t="e">
        <f>IF(AND(P71&gt;0,Inputs!$C$6&gt;0),P71/Inputs!$C$6*Inputs!$C$7,"")</f>
        <v>#VALUE!</v>
      </c>
      <c r="R71" s="23" t="str">
        <f>IF(C71="BC",'Rate Model'!$C$19,IF(C71="DBM",'Rate Model'!$E$19,""))</f>
        <v/>
      </c>
      <c r="S71" s="11" t="e">
        <f t="shared" si="34"/>
        <v>#VALUE!</v>
      </c>
      <c r="T71" s="11" t="str">
        <f>IF(A71&lt;&gt;"",Inputs!$C$47,"")</f>
        <v/>
      </c>
      <c r="U71" s="11" t="str">
        <f>IF(A71&lt;&gt;"",Inputs!$C$48,"")</f>
        <v/>
      </c>
      <c r="V71" s="11">
        <v>2</v>
      </c>
      <c r="W71" s="11" t="str">
        <f>IF(A71&lt;&gt;"",Inputs!$C$49,"")</f>
        <v/>
      </c>
      <c r="X71" s="23">
        <v>0</v>
      </c>
      <c r="Y71" s="23" t="e">
        <f t="shared" si="35"/>
        <v>#VALUE!</v>
      </c>
      <c r="Z71" s="23" t="e">
        <f t="shared" si="36"/>
        <v>#VALUE!</v>
      </c>
      <c r="AA71" s="5" t="str">
        <f>IF(A71&lt;&gt;"",Inputs!$C$57,"")</f>
        <v/>
      </c>
      <c r="AB71" s="6" t="e">
        <f t="shared" si="37"/>
        <v>#VALUE!</v>
      </c>
      <c r="AC71" s="6"/>
      <c r="AD71" s="23"/>
      <c r="AE71" s="23">
        <f>IF(AND(J71&gt;0,AC71&gt;0),J71*AC71*Inputs!$C$71,0)</f>
        <v>0</v>
      </c>
      <c r="AF71" s="23">
        <f>IF(AND(J71&gt;0,AD71&gt;0),J71*AD71*Inputs!$C$72,0)</f>
        <v>0</v>
      </c>
      <c r="AG71" s="23" t="e">
        <f t="shared" si="38"/>
        <v>#VALUE!</v>
      </c>
      <c r="AH71" s="23" t="e">
        <f t="shared" si="39"/>
        <v>#VALUE!</v>
      </c>
      <c r="AI71" s="23" t="e">
        <f t="shared" si="40"/>
        <v>#VALUE!</v>
      </c>
      <c r="AJ71" s="23" t="e">
        <f t="shared" si="41"/>
        <v>#VALUE!</v>
      </c>
    </row>
    <row r="72" spans="1:36" x14ac:dyDescent="0.2">
      <c r="A72" s="6"/>
      <c r="B72" s="6"/>
      <c r="C72" s="6"/>
      <c r="D72" s="6"/>
      <c r="E72" s="11"/>
      <c r="F72" s="11"/>
      <c r="G72" s="11"/>
      <c r="H72" s="11"/>
      <c r="I72" s="10" t="str">
        <f t="shared" si="28"/>
        <v/>
      </c>
      <c r="J72" s="10" t="str">
        <f t="shared" si="29"/>
        <v/>
      </c>
      <c r="K72" s="14" t="str">
        <f t="shared" si="30"/>
        <v/>
      </c>
      <c r="L72" s="10" t="str">
        <f>IF(C72="BC",'Mix Design'!$B$9,IF(C72="DBM",'Mix Design'!$C$9,""))</f>
        <v/>
      </c>
      <c r="M72" s="10" t="str">
        <f>IF(C72="BC",Inputs!$C$17,IF(C72="DBM",Inputs!$C$18,""))</f>
        <v/>
      </c>
      <c r="N72" s="10" t="e">
        <f t="shared" si="31"/>
        <v>#VALUE!</v>
      </c>
      <c r="O72" s="10" t="e">
        <f t="shared" si="32"/>
        <v>#VALUE!</v>
      </c>
      <c r="P72" s="10" t="e">
        <f t="shared" si="33"/>
        <v>#VALUE!</v>
      </c>
      <c r="Q72" s="23" t="e">
        <f>IF(AND(P72&gt;0,Inputs!$C$6&gt;0),P72/Inputs!$C$6*Inputs!$C$7,"")</f>
        <v>#VALUE!</v>
      </c>
      <c r="R72" s="23" t="str">
        <f>IF(C72="BC",'Rate Model'!$C$19,IF(C72="DBM",'Rate Model'!$E$19,""))</f>
        <v/>
      </c>
      <c r="S72" s="11" t="e">
        <f t="shared" si="34"/>
        <v>#VALUE!</v>
      </c>
      <c r="T72" s="11" t="str">
        <f>IF(A72&lt;&gt;"",Inputs!$C$47,"")</f>
        <v/>
      </c>
      <c r="U72" s="11" t="str">
        <f>IF(A72&lt;&gt;"",Inputs!$C$48,"")</f>
        <v/>
      </c>
      <c r="V72" s="11">
        <v>2</v>
      </c>
      <c r="W72" s="11" t="str">
        <f>IF(A72&lt;&gt;"",Inputs!$C$49,"")</f>
        <v/>
      </c>
      <c r="X72" s="23">
        <v>0</v>
      </c>
      <c r="Y72" s="23" t="e">
        <f t="shared" si="35"/>
        <v>#VALUE!</v>
      </c>
      <c r="Z72" s="23" t="e">
        <f t="shared" si="36"/>
        <v>#VALUE!</v>
      </c>
      <c r="AA72" s="5" t="str">
        <f>IF(A72&lt;&gt;"",Inputs!$C$57,"")</f>
        <v/>
      </c>
      <c r="AB72" s="6" t="e">
        <f t="shared" si="37"/>
        <v>#VALUE!</v>
      </c>
      <c r="AC72" s="6"/>
      <c r="AD72" s="23"/>
      <c r="AE72" s="23">
        <f>IF(AND(J72&gt;0,AC72&gt;0),J72*AC72*Inputs!$C$71,0)</f>
        <v>0</v>
      </c>
      <c r="AF72" s="23">
        <f>IF(AND(J72&gt;0,AD72&gt;0),J72*AD72*Inputs!$C$72,0)</f>
        <v>0</v>
      </c>
      <c r="AG72" s="23" t="e">
        <f t="shared" si="38"/>
        <v>#VALUE!</v>
      </c>
      <c r="AH72" s="23" t="e">
        <f t="shared" si="39"/>
        <v>#VALUE!</v>
      </c>
      <c r="AI72" s="23" t="e">
        <f t="shared" si="40"/>
        <v>#VALUE!</v>
      </c>
      <c r="AJ72" s="23" t="e">
        <f t="shared" si="41"/>
        <v>#VALUE!</v>
      </c>
    </row>
    <row r="73" spans="1:36" x14ac:dyDescent="0.2">
      <c r="A73" s="6"/>
      <c r="B73" s="6"/>
      <c r="C73" s="6"/>
      <c r="D73" s="6"/>
      <c r="E73" s="11"/>
      <c r="F73" s="11"/>
      <c r="G73" s="11"/>
      <c r="H73" s="11"/>
      <c r="I73" s="10" t="str">
        <f t="shared" si="28"/>
        <v/>
      </c>
      <c r="J73" s="10" t="str">
        <f t="shared" si="29"/>
        <v/>
      </c>
      <c r="K73" s="14" t="str">
        <f t="shared" si="30"/>
        <v/>
      </c>
      <c r="L73" s="10" t="str">
        <f>IF(C73="BC",'Mix Design'!$B$9,IF(C73="DBM",'Mix Design'!$C$9,""))</f>
        <v/>
      </c>
      <c r="M73" s="10" t="str">
        <f>IF(C73="BC",Inputs!$C$17,IF(C73="DBM",Inputs!$C$18,""))</f>
        <v/>
      </c>
      <c r="N73" s="10" t="e">
        <f t="shared" si="31"/>
        <v>#VALUE!</v>
      </c>
      <c r="O73" s="10" t="e">
        <f t="shared" si="32"/>
        <v>#VALUE!</v>
      </c>
      <c r="P73" s="10" t="e">
        <f t="shared" si="33"/>
        <v>#VALUE!</v>
      </c>
      <c r="Q73" s="23" t="e">
        <f>IF(AND(P73&gt;0,Inputs!$C$6&gt;0),P73/Inputs!$C$6*Inputs!$C$7,"")</f>
        <v>#VALUE!</v>
      </c>
      <c r="R73" s="23" t="str">
        <f>IF(C73="BC",'Rate Model'!$C$19,IF(C73="DBM",'Rate Model'!$E$19,""))</f>
        <v/>
      </c>
      <c r="S73" s="11" t="e">
        <f t="shared" si="34"/>
        <v>#VALUE!</v>
      </c>
      <c r="T73" s="11" t="str">
        <f>IF(A73&lt;&gt;"",Inputs!$C$47,"")</f>
        <v/>
      </c>
      <c r="U73" s="11" t="str">
        <f>IF(A73&lt;&gt;"",Inputs!$C$48,"")</f>
        <v/>
      </c>
      <c r="V73" s="11">
        <v>2</v>
      </c>
      <c r="W73" s="11" t="str">
        <f>IF(A73&lt;&gt;"",Inputs!$C$49,"")</f>
        <v/>
      </c>
      <c r="X73" s="23">
        <v>0</v>
      </c>
      <c r="Y73" s="23" t="e">
        <f t="shared" si="35"/>
        <v>#VALUE!</v>
      </c>
      <c r="Z73" s="23" t="e">
        <f t="shared" si="36"/>
        <v>#VALUE!</v>
      </c>
      <c r="AA73" s="5" t="str">
        <f>IF(A73&lt;&gt;"",Inputs!$C$57,"")</f>
        <v/>
      </c>
      <c r="AB73" s="6" t="e">
        <f t="shared" si="37"/>
        <v>#VALUE!</v>
      </c>
      <c r="AC73" s="6"/>
      <c r="AD73" s="23"/>
      <c r="AE73" s="23">
        <f>IF(AND(J73&gt;0,AC73&gt;0),J73*AC73*Inputs!$C$71,0)</f>
        <v>0</v>
      </c>
      <c r="AF73" s="23">
        <f>IF(AND(J73&gt;0,AD73&gt;0),J73*AD73*Inputs!$C$72,0)</f>
        <v>0</v>
      </c>
      <c r="AG73" s="23" t="e">
        <f t="shared" si="38"/>
        <v>#VALUE!</v>
      </c>
      <c r="AH73" s="23" t="e">
        <f t="shared" si="39"/>
        <v>#VALUE!</v>
      </c>
      <c r="AI73" s="23" t="e">
        <f t="shared" si="40"/>
        <v>#VALUE!</v>
      </c>
      <c r="AJ73" s="23" t="e">
        <f t="shared" si="41"/>
        <v>#VALUE!</v>
      </c>
    </row>
    <row r="74" spans="1:36" x14ac:dyDescent="0.2">
      <c r="A74" s="6"/>
      <c r="B74" s="6"/>
      <c r="C74" s="6"/>
      <c r="D74" s="6"/>
      <c r="E74" s="11"/>
      <c r="F74" s="11"/>
      <c r="G74" s="11"/>
      <c r="H74" s="11"/>
      <c r="I74" s="10" t="str">
        <f t="shared" si="28"/>
        <v/>
      </c>
      <c r="J74" s="10" t="str">
        <f t="shared" si="29"/>
        <v/>
      </c>
      <c r="K74" s="14" t="str">
        <f t="shared" si="30"/>
        <v/>
      </c>
      <c r="L74" s="10" t="str">
        <f>IF(C74="BC",'Mix Design'!$B$9,IF(C74="DBM",'Mix Design'!$C$9,""))</f>
        <v/>
      </c>
      <c r="M74" s="10" t="str">
        <f>IF(C74="BC",Inputs!$C$17,IF(C74="DBM",Inputs!$C$18,""))</f>
        <v/>
      </c>
      <c r="N74" s="10" t="e">
        <f t="shared" si="31"/>
        <v>#VALUE!</v>
      </c>
      <c r="O74" s="10" t="e">
        <f t="shared" si="32"/>
        <v>#VALUE!</v>
      </c>
      <c r="P74" s="10" t="e">
        <f t="shared" si="33"/>
        <v>#VALUE!</v>
      </c>
      <c r="Q74" s="23" t="e">
        <f>IF(AND(P74&gt;0,Inputs!$C$6&gt;0),P74/Inputs!$C$6*Inputs!$C$7,"")</f>
        <v>#VALUE!</v>
      </c>
      <c r="R74" s="23" t="str">
        <f>IF(C74="BC",'Rate Model'!$C$19,IF(C74="DBM",'Rate Model'!$E$19,""))</f>
        <v/>
      </c>
      <c r="S74" s="11" t="e">
        <f t="shared" si="34"/>
        <v>#VALUE!</v>
      </c>
      <c r="T74" s="11" t="str">
        <f>IF(A74&lt;&gt;"",Inputs!$C$47,"")</f>
        <v/>
      </c>
      <c r="U74" s="11" t="str">
        <f>IF(A74&lt;&gt;"",Inputs!$C$48,"")</f>
        <v/>
      </c>
      <c r="V74" s="11">
        <v>2</v>
      </c>
      <c r="W74" s="11" t="str">
        <f>IF(A74&lt;&gt;"",Inputs!$C$49,"")</f>
        <v/>
      </c>
      <c r="X74" s="23">
        <v>0</v>
      </c>
      <c r="Y74" s="23" t="e">
        <f t="shared" si="35"/>
        <v>#VALUE!</v>
      </c>
      <c r="Z74" s="23" t="e">
        <f t="shared" si="36"/>
        <v>#VALUE!</v>
      </c>
      <c r="AA74" s="5" t="str">
        <f>IF(A74&lt;&gt;"",Inputs!$C$57,"")</f>
        <v/>
      </c>
      <c r="AB74" s="6" t="e">
        <f t="shared" si="37"/>
        <v>#VALUE!</v>
      </c>
      <c r="AC74" s="6"/>
      <c r="AD74" s="23"/>
      <c r="AE74" s="23">
        <f>IF(AND(J74&gt;0,AC74&gt;0),J74*AC74*Inputs!$C$71,0)</f>
        <v>0</v>
      </c>
      <c r="AF74" s="23">
        <f>IF(AND(J74&gt;0,AD74&gt;0),J74*AD74*Inputs!$C$72,0)</f>
        <v>0</v>
      </c>
      <c r="AG74" s="23" t="e">
        <f t="shared" si="38"/>
        <v>#VALUE!</v>
      </c>
      <c r="AH74" s="23" t="e">
        <f t="shared" si="39"/>
        <v>#VALUE!</v>
      </c>
      <c r="AI74" s="23" t="e">
        <f t="shared" si="40"/>
        <v>#VALUE!</v>
      </c>
      <c r="AJ74" s="23" t="e">
        <f t="shared" si="41"/>
        <v>#VALUE!</v>
      </c>
    </row>
    <row r="75" spans="1:36" x14ac:dyDescent="0.2">
      <c r="A75" s="6"/>
      <c r="B75" s="6"/>
      <c r="C75" s="6"/>
      <c r="D75" s="6"/>
      <c r="E75" s="11"/>
      <c r="F75" s="11"/>
      <c r="G75" s="11"/>
      <c r="H75" s="11"/>
      <c r="I75" s="10" t="str">
        <f t="shared" si="28"/>
        <v/>
      </c>
      <c r="J75" s="10" t="str">
        <f t="shared" si="29"/>
        <v/>
      </c>
      <c r="K75" s="14" t="str">
        <f t="shared" si="30"/>
        <v/>
      </c>
      <c r="L75" s="10" t="str">
        <f>IF(C75="BC",'Mix Design'!$B$9,IF(C75="DBM",'Mix Design'!$C$9,""))</f>
        <v/>
      </c>
      <c r="M75" s="10" t="str">
        <f>IF(C75="BC",Inputs!$C$17,IF(C75="DBM",Inputs!$C$18,""))</f>
        <v/>
      </c>
      <c r="N75" s="10" t="e">
        <f t="shared" si="31"/>
        <v>#VALUE!</v>
      </c>
      <c r="O75" s="10" t="e">
        <f t="shared" si="32"/>
        <v>#VALUE!</v>
      </c>
      <c r="P75" s="10" t="e">
        <f t="shared" si="33"/>
        <v>#VALUE!</v>
      </c>
      <c r="Q75" s="23" t="e">
        <f>IF(AND(P75&gt;0,Inputs!$C$6&gt;0),P75/Inputs!$C$6*Inputs!$C$7,"")</f>
        <v>#VALUE!</v>
      </c>
      <c r="R75" s="23" t="str">
        <f>IF(C75="BC",'Rate Model'!$C$19,IF(C75="DBM",'Rate Model'!$E$19,""))</f>
        <v/>
      </c>
      <c r="S75" s="11" t="e">
        <f t="shared" si="34"/>
        <v>#VALUE!</v>
      </c>
      <c r="T75" s="11" t="str">
        <f>IF(A75&lt;&gt;"",Inputs!$C$47,"")</f>
        <v/>
      </c>
      <c r="U75" s="11" t="str">
        <f>IF(A75&lt;&gt;"",Inputs!$C$48,"")</f>
        <v/>
      </c>
      <c r="V75" s="11">
        <v>2</v>
      </c>
      <c r="W75" s="11" t="str">
        <f>IF(A75&lt;&gt;"",Inputs!$C$49,"")</f>
        <v/>
      </c>
      <c r="X75" s="23">
        <v>0</v>
      </c>
      <c r="Y75" s="23" t="e">
        <f t="shared" si="35"/>
        <v>#VALUE!</v>
      </c>
      <c r="Z75" s="23" t="e">
        <f t="shared" si="36"/>
        <v>#VALUE!</v>
      </c>
      <c r="AA75" s="5" t="str">
        <f>IF(A75&lt;&gt;"",Inputs!$C$57,"")</f>
        <v/>
      </c>
      <c r="AB75" s="6" t="e">
        <f t="shared" si="37"/>
        <v>#VALUE!</v>
      </c>
      <c r="AC75" s="6"/>
      <c r="AD75" s="23"/>
      <c r="AE75" s="23">
        <f>IF(AND(J75&gt;0,AC75&gt;0),J75*AC75*Inputs!$C$71,0)</f>
        <v>0</v>
      </c>
      <c r="AF75" s="23">
        <f>IF(AND(J75&gt;0,AD75&gt;0),J75*AD75*Inputs!$C$72,0)</f>
        <v>0</v>
      </c>
      <c r="AG75" s="23" t="e">
        <f t="shared" si="38"/>
        <v>#VALUE!</v>
      </c>
      <c r="AH75" s="23" t="e">
        <f t="shared" si="39"/>
        <v>#VALUE!</v>
      </c>
      <c r="AI75" s="23" t="e">
        <f t="shared" si="40"/>
        <v>#VALUE!</v>
      </c>
      <c r="AJ75" s="23" t="e">
        <f t="shared" si="41"/>
        <v>#VALUE!</v>
      </c>
    </row>
    <row r="76" spans="1:36" x14ac:dyDescent="0.2">
      <c r="A76" s="6"/>
      <c r="B76" s="6"/>
      <c r="C76" s="6"/>
      <c r="D76" s="6"/>
      <c r="E76" s="11"/>
      <c r="F76" s="11"/>
      <c r="G76" s="11"/>
      <c r="H76" s="11"/>
      <c r="I76" s="10" t="str">
        <f t="shared" si="28"/>
        <v/>
      </c>
      <c r="J76" s="10" t="str">
        <f t="shared" si="29"/>
        <v/>
      </c>
      <c r="K76" s="14" t="str">
        <f t="shared" si="30"/>
        <v/>
      </c>
      <c r="L76" s="10" t="str">
        <f>IF(C76="BC",'Mix Design'!$B$9,IF(C76="DBM",'Mix Design'!$C$9,""))</f>
        <v/>
      </c>
      <c r="M76" s="10" t="str">
        <f>IF(C76="BC",Inputs!$C$17,IF(C76="DBM",Inputs!$C$18,""))</f>
        <v/>
      </c>
      <c r="N76" s="10" t="e">
        <f t="shared" si="31"/>
        <v>#VALUE!</v>
      </c>
      <c r="O76" s="10" t="e">
        <f t="shared" si="32"/>
        <v>#VALUE!</v>
      </c>
      <c r="P76" s="10" t="e">
        <f t="shared" si="33"/>
        <v>#VALUE!</v>
      </c>
      <c r="Q76" s="23" t="e">
        <f>IF(AND(P76&gt;0,Inputs!$C$6&gt;0),P76/Inputs!$C$6*Inputs!$C$7,"")</f>
        <v>#VALUE!</v>
      </c>
      <c r="R76" s="23" t="str">
        <f>IF(C76="BC",'Rate Model'!$C$19,IF(C76="DBM",'Rate Model'!$E$19,""))</f>
        <v/>
      </c>
      <c r="S76" s="11" t="e">
        <f t="shared" si="34"/>
        <v>#VALUE!</v>
      </c>
      <c r="T76" s="11" t="str">
        <f>IF(A76&lt;&gt;"",Inputs!$C$47,"")</f>
        <v/>
      </c>
      <c r="U76" s="11" t="str">
        <f>IF(A76&lt;&gt;"",Inputs!$C$48,"")</f>
        <v/>
      </c>
      <c r="V76" s="11">
        <v>2</v>
      </c>
      <c r="W76" s="11" t="str">
        <f>IF(A76&lt;&gt;"",Inputs!$C$49,"")</f>
        <v/>
      </c>
      <c r="X76" s="23">
        <v>0</v>
      </c>
      <c r="Y76" s="23" t="e">
        <f t="shared" si="35"/>
        <v>#VALUE!</v>
      </c>
      <c r="Z76" s="23" t="e">
        <f t="shared" si="36"/>
        <v>#VALUE!</v>
      </c>
      <c r="AA76" s="5" t="str">
        <f>IF(A76&lt;&gt;"",Inputs!$C$57,"")</f>
        <v/>
      </c>
      <c r="AB76" s="6" t="e">
        <f t="shared" si="37"/>
        <v>#VALUE!</v>
      </c>
      <c r="AC76" s="6"/>
      <c r="AD76" s="23"/>
      <c r="AE76" s="23">
        <f>IF(AND(J76&gt;0,AC76&gt;0),J76*AC76*Inputs!$C$71,0)</f>
        <v>0</v>
      </c>
      <c r="AF76" s="23">
        <f>IF(AND(J76&gt;0,AD76&gt;0),J76*AD76*Inputs!$C$72,0)</f>
        <v>0</v>
      </c>
      <c r="AG76" s="23" t="e">
        <f t="shared" si="38"/>
        <v>#VALUE!</v>
      </c>
      <c r="AH76" s="23" t="e">
        <f t="shared" si="39"/>
        <v>#VALUE!</v>
      </c>
      <c r="AI76" s="23" t="e">
        <f t="shared" si="40"/>
        <v>#VALUE!</v>
      </c>
      <c r="AJ76" s="23" t="e">
        <f t="shared" si="41"/>
        <v>#VALUE!</v>
      </c>
    </row>
    <row r="77" spans="1:36" x14ac:dyDescent="0.2">
      <c r="A77" s="6"/>
      <c r="B77" s="6"/>
      <c r="C77" s="6"/>
      <c r="D77" s="6"/>
      <c r="E77" s="11"/>
      <c r="F77" s="11"/>
      <c r="G77" s="11"/>
      <c r="H77" s="11"/>
      <c r="I77" s="10" t="str">
        <f t="shared" si="28"/>
        <v/>
      </c>
      <c r="J77" s="10" t="str">
        <f t="shared" si="29"/>
        <v/>
      </c>
      <c r="K77" s="14" t="str">
        <f t="shared" si="30"/>
        <v/>
      </c>
      <c r="L77" s="10" t="str">
        <f>IF(C77="BC",'Mix Design'!$B$9,IF(C77="DBM",'Mix Design'!$C$9,""))</f>
        <v/>
      </c>
      <c r="M77" s="10" t="str">
        <f>IF(C77="BC",Inputs!$C$17,IF(C77="DBM",Inputs!$C$18,""))</f>
        <v/>
      </c>
      <c r="N77" s="10" t="e">
        <f t="shared" si="31"/>
        <v>#VALUE!</v>
      </c>
      <c r="O77" s="10" t="e">
        <f t="shared" si="32"/>
        <v>#VALUE!</v>
      </c>
      <c r="P77" s="10" t="e">
        <f t="shared" si="33"/>
        <v>#VALUE!</v>
      </c>
      <c r="Q77" s="23" t="e">
        <f>IF(AND(P77&gt;0,Inputs!$C$6&gt;0),P77/Inputs!$C$6*Inputs!$C$7,"")</f>
        <v>#VALUE!</v>
      </c>
      <c r="R77" s="23" t="str">
        <f>IF(C77="BC",'Rate Model'!$C$19,IF(C77="DBM",'Rate Model'!$E$19,""))</f>
        <v/>
      </c>
      <c r="S77" s="11" t="e">
        <f t="shared" si="34"/>
        <v>#VALUE!</v>
      </c>
      <c r="T77" s="11" t="str">
        <f>IF(A77&lt;&gt;"",Inputs!$C$47,"")</f>
        <v/>
      </c>
      <c r="U77" s="11" t="str">
        <f>IF(A77&lt;&gt;"",Inputs!$C$48,"")</f>
        <v/>
      </c>
      <c r="V77" s="11">
        <v>2</v>
      </c>
      <c r="W77" s="11" t="str">
        <f>IF(A77&lt;&gt;"",Inputs!$C$49,"")</f>
        <v/>
      </c>
      <c r="X77" s="23">
        <v>0</v>
      </c>
      <c r="Y77" s="23" t="e">
        <f t="shared" si="35"/>
        <v>#VALUE!</v>
      </c>
      <c r="Z77" s="23" t="e">
        <f t="shared" si="36"/>
        <v>#VALUE!</v>
      </c>
      <c r="AA77" s="5" t="str">
        <f>IF(A77&lt;&gt;"",Inputs!$C$57,"")</f>
        <v/>
      </c>
      <c r="AB77" s="6" t="e">
        <f t="shared" si="37"/>
        <v>#VALUE!</v>
      </c>
      <c r="AC77" s="6"/>
      <c r="AD77" s="23"/>
      <c r="AE77" s="23">
        <f>IF(AND(J77&gt;0,AC77&gt;0),J77*AC77*Inputs!$C$71,0)</f>
        <v>0</v>
      </c>
      <c r="AF77" s="23">
        <f>IF(AND(J77&gt;0,AD77&gt;0),J77*AD77*Inputs!$C$72,0)</f>
        <v>0</v>
      </c>
      <c r="AG77" s="23" t="e">
        <f t="shared" si="38"/>
        <v>#VALUE!</v>
      </c>
      <c r="AH77" s="23" t="e">
        <f t="shared" si="39"/>
        <v>#VALUE!</v>
      </c>
      <c r="AI77" s="23" t="e">
        <f t="shared" si="40"/>
        <v>#VALUE!</v>
      </c>
      <c r="AJ77" s="23" t="e">
        <f t="shared" si="41"/>
        <v>#VALUE!</v>
      </c>
    </row>
    <row r="78" spans="1:36" x14ac:dyDescent="0.2">
      <c r="A78" s="6"/>
      <c r="B78" s="6"/>
      <c r="C78" s="6"/>
      <c r="D78" s="6"/>
      <c r="E78" s="11"/>
      <c r="F78" s="11"/>
      <c r="G78" s="11"/>
      <c r="H78" s="11"/>
      <c r="I78" s="10" t="str">
        <f t="shared" si="28"/>
        <v/>
      </c>
      <c r="J78" s="10" t="str">
        <f t="shared" si="29"/>
        <v/>
      </c>
      <c r="K78" s="14" t="str">
        <f t="shared" si="30"/>
        <v/>
      </c>
      <c r="L78" s="10" t="str">
        <f>IF(C78="BC",'Mix Design'!$B$9,IF(C78="DBM",'Mix Design'!$C$9,""))</f>
        <v/>
      </c>
      <c r="M78" s="10" t="str">
        <f>IF(C78="BC",Inputs!$C$17,IF(C78="DBM",Inputs!$C$18,""))</f>
        <v/>
      </c>
      <c r="N78" s="10" t="e">
        <f t="shared" si="31"/>
        <v>#VALUE!</v>
      </c>
      <c r="O78" s="10" t="e">
        <f t="shared" si="32"/>
        <v>#VALUE!</v>
      </c>
      <c r="P78" s="10" t="e">
        <f t="shared" si="33"/>
        <v>#VALUE!</v>
      </c>
      <c r="Q78" s="23" t="e">
        <f>IF(AND(P78&gt;0,Inputs!$C$6&gt;0),P78/Inputs!$C$6*Inputs!$C$7,"")</f>
        <v>#VALUE!</v>
      </c>
      <c r="R78" s="23" t="str">
        <f>IF(C78="BC",'Rate Model'!$C$19,IF(C78="DBM",'Rate Model'!$E$19,""))</f>
        <v/>
      </c>
      <c r="S78" s="11" t="e">
        <f t="shared" si="34"/>
        <v>#VALUE!</v>
      </c>
      <c r="T78" s="11" t="str">
        <f>IF(A78&lt;&gt;"",Inputs!$C$47,"")</f>
        <v/>
      </c>
      <c r="U78" s="11" t="str">
        <f>IF(A78&lt;&gt;"",Inputs!$C$48,"")</f>
        <v/>
      </c>
      <c r="V78" s="11">
        <v>2</v>
      </c>
      <c r="W78" s="11" t="str">
        <f>IF(A78&lt;&gt;"",Inputs!$C$49,"")</f>
        <v/>
      </c>
      <c r="X78" s="23">
        <v>0</v>
      </c>
      <c r="Y78" s="23" t="e">
        <f t="shared" si="35"/>
        <v>#VALUE!</v>
      </c>
      <c r="Z78" s="23" t="e">
        <f t="shared" si="36"/>
        <v>#VALUE!</v>
      </c>
      <c r="AA78" s="5" t="str">
        <f>IF(A78&lt;&gt;"",Inputs!$C$57,"")</f>
        <v/>
      </c>
      <c r="AB78" s="6" t="e">
        <f t="shared" si="37"/>
        <v>#VALUE!</v>
      </c>
      <c r="AC78" s="6"/>
      <c r="AD78" s="23"/>
      <c r="AE78" s="23">
        <f>IF(AND(J78&gt;0,AC78&gt;0),J78*AC78*Inputs!$C$71,0)</f>
        <v>0</v>
      </c>
      <c r="AF78" s="23">
        <f>IF(AND(J78&gt;0,AD78&gt;0),J78*AD78*Inputs!$C$72,0)</f>
        <v>0</v>
      </c>
      <c r="AG78" s="23" t="e">
        <f t="shared" si="38"/>
        <v>#VALUE!</v>
      </c>
      <c r="AH78" s="23" t="e">
        <f t="shared" si="39"/>
        <v>#VALUE!</v>
      </c>
      <c r="AI78" s="23" t="e">
        <f t="shared" si="40"/>
        <v>#VALUE!</v>
      </c>
      <c r="AJ78" s="23" t="e">
        <f t="shared" si="41"/>
        <v>#VALUE!</v>
      </c>
    </row>
    <row r="79" spans="1:36" x14ac:dyDescent="0.2">
      <c r="A79" s="6"/>
      <c r="B79" s="6"/>
      <c r="C79" s="6"/>
      <c r="D79" s="6"/>
      <c r="E79" s="11"/>
      <c r="F79" s="11"/>
      <c r="G79" s="11"/>
      <c r="H79" s="11"/>
      <c r="I79" s="10" t="str">
        <f t="shared" si="28"/>
        <v/>
      </c>
      <c r="J79" s="10" t="str">
        <f t="shared" si="29"/>
        <v/>
      </c>
      <c r="K79" s="14" t="str">
        <f t="shared" si="30"/>
        <v/>
      </c>
      <c r="L79" s="10" t="str">
        <f>IF(C79="BC",'Mix Design'!$B$9,IF(C79="DBM",'Mix Design'!$C$9,""))</f>
        <v/>
      </c>
      <c r="M79" s="10" t="str">
        <f>IF(C79="BC",Inputs!$C$17,IF(C79="DBM",Inputs!$C$18,""))</f>
        <v/>
      </c>
      <c r="N79" s="10" t="e">
        <f t="shared" si="31"/>
        <v>#VALUE!</v>
      </c>
      <c r="O79" s="10" t="e">
        <f t="shared" si="32"/>
        <v>#VALUE!</v>
      </c>
      <c r="P79" s="10" t="e">
        <f t="shared" si="33"/>
        <v>#VALUE!</v>
      </c>
      <c r="Q79" s="23" t="e">
        <f>IF(AND(P79&gt;0,Inputs!$C$6&gt;0),P79/Inputs!$C$6*Inputs!$C$7,"")</f>
        <v>#VALUE!</v>
      </c>
      <c r="R79" s="23" t="str">
        <f>IF(C79="BC",'Rate Model'!$C$19,IF(C79="DBM",'Rate Model'!$E$19,""))</f>
        <v/>
      </c>
      <c r="S79" s="11" t="e">
        <f t="shared" si="34"/>
        <v>#VALUE!</v>
      </c>
      <c r="T79" s="11" t="str">
        <f>IF(A79&lt;&gt;"",Inputs!$C$47,"")</f>
        <v/>
      </c>
      <c r="U79" s="11" t="str">
        <f>IF(A79&lt;&gt;"",Inputs!$C$48,"")</f>
        <v/>
      </c>
      <c r="V79" s="11">
        <v>2</v>
      </c>
      <c r="W79" s="11" t="str">
        <f>IF(A79&lt;&gt;"",Inputs!$C$49,"")</f>
        <v/>
      </c>
      <c r="X79" s="23">
        <v>0</v>
      </c>
      <c r="Y79" s="23" t="e">
        <f t="shared" si="35"/>
        <v>#VALUE!</v>
      </c>
      <c r="Z79" s="23" t="e">
        <f t="shared" si="36"/>
        <v>#VALUE!</v>
      </c>
      <c r="AA79" s="5" t="str">
        <f>IF(A79&lt;&gt;"",Inputs!$C$57,"")</f>
        <v/>
      </c>
      <c r="AB79" s="6" t="e">
        <f t="shared" si="37"/>
        <v>#VALUE!</v>
      </c>
      <c r="AC79" s="6"/>
      <c r="AD79" s="23"/>
      <c r="AE79" s="23">
        <f>IF(AND(J79&gt;0,AC79&gt;0),J79*AC79*Inputs!$C$71,0)</f>
        <v>0</v>
      </c>
      <c r="AF79" s="23">
        <f>IF(AND(J79&gt;0,AD79&gt;0),J79*AD79*Inputs!$C$72,0)</f>
        <v>0</v>
      </c>
      <c r="AG79" s="23" t="e">
        <f t="shared" si="38"/>
        <v>#VALUE!</v>
      </c>
      <c r="AH79" s="23" t="e">
        <f t="shared" si="39"/>
        <v>#VALUE!</v>
      </c>
      <c r="AI79" s="23" t="e">
        <f t="shared" si="40"/>
        <v>#VALUE!</v>
      </c>
      <c r="AJ79" s="23" t="e">
        <f t="shared" si="41"/>
        <v>#VALUE!</v>
      </c>
    </row>
    <row r="80" spans="1:36" x14ac:dyDescent="0.2">
      <c r="A80" s="6"/>
      <c r="B80" s="6"/>
      <c r="C80" s="6"/>
      <c r="D80" s="6"/>
      <c r="E80" s="11"/>
      <c r="F80" s="11"/>
      <c r="G80" s="11"/>
      <c r="H80" s="11"/>
      <c r="I80" s="10" t="str">
        <f t="shared" si="28"/>
        <v/>
      </c>
      <c r="J80" s="10" t="str">
        <f t="shared" si="29"/>
        <v/>
      </c>
      <c r="K80" s="14" t="str">
        <f t="shared" si="30"/>
        <v/>
      </c>
      <c r="L80" s="10" t="str">
        <f>IF(C80="BC",'Mix Design'!$B$9,IF(C80="DBM",'Mix Design'!$C$9,""))</f>
        <v/>
      </c>
      <c r="M80" s="10" t="str">
        <f>IF(C80="BC",Inputs!$C$17,IF(C80="DBM",Inputs!$C$18,""))</f>
        <v/>
      </c>
      <c r="N80" s="10" t="e">
        <f t="shared" si="31"/>
        <v>#VALUE!</v>
      </c>
      <c r="O80" s="10" t="e">
        <f t="shared" si="32"/>
        <v>#VALUE!</v>
      </c>
      <c r="P80" s="10" t="e">
        <f t="shared" si="33"/>
        <v>#VALUE!</v>
      </c>
      <c r="Q80" s="23" t="e">
        <f>IF(AND(P80&gt;0,Inputs!$C$6&gt;0),P80/Inputs!$C$6*Inputs!$C$7,"")</f>
        <v>#VALUE!</v>
      </c>
      <c r="R80" s="23" t="str">
        <f>IF(C80="BC",'Rate Model'!$C$19,IF(C80="DBM",'Rate Model'!$E$19,""))</f>
        <v/>
      </c>
      <c r="S80" s="11" t="e">
        <f t="shared" si="34"/>
        <v>#VALUE!</v>
      </c>
      <c r="T80" s="11" t="str">
        <f>IF(A80&lt;&gt;"",Inputs!$C$47,"")</f>
        <v/>
      </c>
      <c r="U80" s="11" t="str">
        <f>IF(A80&lt;&gt;"",Inputs!$C$48,"")</f>
        <v/>
      </c>
      <c r="V80" s="11">
        <v>2</v>
      </c>
      <c r="W80" s="11" t="str">
        <f>IF(A80&lt;&gt;"",Inputs!$C$49,"")</f>
        <v/>
      </c>
      <c r="X80" s="23">
        <v>0</v>
      </c>
      <c r="Y80" s="23" t="e">
        <f t="shared" si="35"/>
        <v>#VALUE!</v>
      </c>
      <c r="Z80" s="23" t="e">
        <f t="shared" si="36"/>
        <v>#VALUE!</v>
      </c>
      <c r="AA80" s="5" t="str">
        <f>IF(A80&lt;&gt;"",Inputs!$C$57,"")</f>
        <v/>
      </c>
      <c r="AB80" s="6" t="e">
        <f t="shared" si="37"/>
        <v>#VALUE!</v>
      </c>
      <c r="AC80" s="6"/>
      <c r="AD80" s="23"/>
      <c r="AE80" s="23">
        <f>IF(AND(J80&gt;0,AC80&gt;0),J80*AC80*Inputs!$C$71,0)</f>
        <v>0</v>
      </c>
      <c r="AF80" s="23">
        <f>IF(AND(J80&gt;0,AD80&gt;0),J80*AD80*Inputs!$C$72,0)</f>
        <v>0</v>
      </c>
      <c r="AG80" s="23" t="e">
        <f t="shared" si="38"/>
        <v>#VALUE!</v>
      </c>
      <c r="AH80" s="23" t="e">
        <f t="shared" si="39"/>
        <v>#VALUE!</v>
      </c>
      <c r="AI80" s="23" t="e">
        <f t="shared" si="40"/>
        <v>#VALUE!</v>
      </c>
      <c r="AJ80" s="23" t="e">
        <f t="shared" si="41"/>
        <v>#VALUE!</v>
      </c>
    </row>
    <row r="81" spans="1:36" x14ac:dyDescent="0.2">
      <c r="A81" s="6"/>
      <c r="B81" s="6"/>
      <c r="C81" s="6"/>
      <c r="D81" s="6"/>
      <c r="E81" s="11"/>
      <c r="F81" s="11"/>
      <c r="G81" s="11"/>
      <c r="H81" s="11"/>
      <c r="I81" s="10" t="str">
        <f t="shared" si="28"/>
        <v/>
      </c>
      <c r="J81" s="10" t="str">
        <f t="shared" si="29"/>
        <v/>
      </c>
      <c r="K81" s="14" t="str">
        <f t="shared" si="30"/>
        <v/>
      </c>
      <c r="L81" s="10" t="str">
        <f>IF(C81="BC",'Mix Design'!$B$9,IF(C81="DBM",'Mix Design'!$C$9,""))</f>
        <v/>
      </c>
      <c r="M81" s="10" t="str">
        <f>IF(C81="BC",Inputs!$C$17,IF(C81="DBM",Inputs!$C$18,""))</f>
        <v/>
      </c>
      <c r="N81" s="10" t="e">
        <f t="shared" si="31"/>
        <v>#VALUE!</v>
      </c>
      <c r="O81" s="10" t="e">
        <f t="shared" si="32"/>
        <v>#VALUE!</v>
      </c>
      <c r="P81" s="10" t="e">
        <f t="shared" si="33"/>
        <v>#VALUE!</v>
      </c>
      <c r="Q81" s="23" t="e">
        <f>IF(AND(P81&gt;0,Inputs!$C$6&gt;0),P81/Inputs!$C$6*Inputs!$C$7,"")</f>
        <v>#VALUE!</v>
      </c>
      <c r="R81" s="23" t="str">
        <f>IF(C81="BC",'Rate Model'!$C$19,IF(C81="DBM",'Rate Model'!$E$19,""))</f>
        <v/>
      </c>
      <c r="S81" s="11" t="e">
        <f t="shared" si="34"/>
        <v>#VALUE!</v>
      </c>
      <c r="T81" s="11" t="str">
        <f>IF(A81&lt;&gt;"",Inputs!$C$47,"")</f>
        <v/>
      </c>
      <c r="U81" s="11" t="str">
        <f>IF(A81&lt;&gt;"",Inputs!$C$48,"")</f>
        <v/>
      </c>
      <c r="V81" s="11">
        <v>2</v>
      </c>
      <c r="W81" s="11" t="str">
        <f>IF(A81&lt;&gt;"",Inputs!$C$49,"")</f>
        <v/>
      </c>
      <c r="X81" s="23">
        <v>0</v>
      </c>
      <c r="Y81" s="23" t="e">
        <f t="shared" si="35"/>
        <v>#VALUE!</v>
      </c>
      <c r="Z81" s="23" t="e">
        <f t="shared" si="36"/>
        <v>#VALUE!</v>
      </c>
      <c r="AA81" s="5" t="str">
        <f>IF(A81&lt;&gt;"",Inputs!$C$57,"")</f>
        <v/>
      </c>
      <c r="AB81" s="6" t="e">
        <f t="shared" si="37"/>
        <v>#VALUE!</v>
      </c>
      <c r="AC81" s="6"/>
      <c r="AD81" s="23"/>
      <c r="AE81" s="23">
        <f>IF(AND(J81&gt;0,AC81&gt;0),J81*AC81*Inputs!$C$71,0)</f>
        <v>0</v>
      </c>
      <c r="AF81" s="23">
        <f>IF(AND(J81&gt;0,AD81&gt;0),J81*AD81*Inputs!$C$72,0)</f>
        <v>0</v>
      </c>
      <c r="AG81" s="23" t="e">
        <f t="shared" si="38"/>
        <v>#VALUE!</v>
      </c>
      <c r="AH81" s="23" t="e">
        <f t="shared" si="39"/>
        <v>#VALUE!</v>
      </c>
      <c r="AI81" s="23" t="e">
        <f t="shared" si="40"/>
        <v>#VALUE!</v>
      </c>
      <c r="AJ81" s="23" t="e">
        <f t="shared" si="41"/>
        <v>#VALUE!</v>
      </c>
    </row>
    <row r="82" spans="1:36" x14ac:dyDescent="0.2">
      <c r="A82" s="6"/>
      <c r="B82" s="6"/>
      <c r="C82" s="6"/>
      <c r="D82" s="6"/>
      <c r="E82" s="11"/>
      <c r="F82" s="11"/>
      <c r="G82" s="11"/>
      <c r="H82" s="11"/>
      <c r="I82" s="10" t="str">
        <f t="shared" si="28"/>
        <v/>
      </c>
      <c r="J82" s="10" t="str">
        <f t="shared" si="29"/>
        <v/>
      </c>
      <c r="K82" s="14" t="str">
        <f t="shared" si="30"/>
        <v/>
      </c>
      <c r="L82" s="10" t="str">
        <f>IF(C82="BC",'Mix Design'!$B$9,IF(C82="DBM",'Mix Design'!$C$9,""))</f>
        <v/>
      </c>
      <c r="M82" s="10" t="str">
        <f>IF(C82="BC",Inputs!$C$17,IF(C82="DBM",Inputs!$C$18,""))</f>
        <v/>
      </c>
      <c r="N82" s="10" t="e">
        <f t="shared" si="31"/>
        <v>#VALUE!</v>
      </c>
      <c r="O82" s="10" t="e">
        <f t="shared" si="32"/>
        <v>#VALUE!</v>
      </c>
      <c r="P82" s="10" t="e">
        <f t="shared" si="33"/>
        <v>#VALUE!</v>
      </c>
      <c r="Q82" s="23" t="e">
        <f>IF(AND(P82&gt;0,Inputs!$C$6&gt;0),P82/Inputs!$C$6*Inputs!$C$7,"")</f>
        <v>#VALUE!</v>
      </c>
      <c r="R82" s="23" t="str">
        <f>IF(C82="BC",'Rate Model'!$C$19,IF(C82="DBM",'Rate Model'!$E$19,""))</f>
        <v/>
      </c>
      <c r="S82" s="11" t="e">
        <f t="shared" si="34"/>
        <v>#VALUE!</v>
      </c>
      <c r="T82" s="11" t="str">
        <f>IF(A82&lt;&gt;"",Inputs!$C$47,"")</f>
        <v/>
      </c>
      <c r="U82" s="11" t="str">
        <f>IF(A82&lt;&gt;"",Inputs!$C$48,"")</f>
        <v/>
      </c>
      <c r="V82" s="11">
        <v>2</v>
      </c>
      <c r="W82" s="11" t="str">
        <f>IF(A82&lt;&gt;"",Inputs!$C$49,"")</f>
        <v/>
      </c>
      <c r="X82" s="23">
        <v>0</v>
      </c>
      <c r="Y82" s="23" t="e">
        <f t="shared" si="35"/>
        <v>#VALUE!</v>
      </c>
      <c r="Z82" s="23" t="e">
        <f t="shared" si="36"/>
        <v>#VALUE!</v>
      </c>
      <c r="AA82" s="5" t="str">
        <f>IF(A82&lt;&gt;"",Inputs!$C$57,"")</f>
        <v/>
      </c>
      <c r="AB82" s="6" t="e">
        <f t="shared" si="37"/>
        <v>#VALUE!</v>
      </c>
      <c r="AC82" s="6"/>
      <c r="AD82" s="23"/>
      <c r="AE82" s="23">
        <f>IF(AND(J82&gt;0,AC82&gt;0),J82*AC82*Inputs!$C$71,0)</f>
        <v>0</v>
      </c>
      <c r="AF82" s="23">
        <f>IF(AND(J82&gt;0,AD82&gt;0),J82*AD82*Inputs!$C$72,0)</f>
        <v>0</v>
      </c>
      <c r="AG82" s="23" t="e">
        <f t="shared" si="38"/>
        <v>#VALUE!</v>
      </c>
      <c r="AH82" s="23" t="e">
        <f t="shared" si="39"/>
        <v>#VALUE!</v>
      </c>
      <c r="AI82" s="23" t="e">
        <f t="shared" si="40"/>
        <v>#VALUE!</v>
      </c>
      <c r="AJ82" s="23" t="e">
        <f t="shared" si="41"/>
        <v>#VALUE!</v>
      </c>
    </row>
    <row r="83" spans="1:36" x14ac:dyDescent="0.2">
      <c r="A83" s="6"/>
      <c r="B83" s="6"/>
      <c r="C83" s="6"/>
      <c r="D83" s="6"/>
      <c r="E83" s="11"/>
      <c r="F83" s="11"/>
      <c r="G83" s="11"/>
      <c r="H83" s="11"/>
      <c r="I83" s="10" t="str">
        <f t="shared" si="28"/>
        <v/>
      </c>
      <c r="J83" s="10" t="str">
        <f t="shared" si="29"/>
        <v/>
      </c>
      <c r="K83" s="14" t="str">
        <f t="shared" si="30"/>
        <v/>
      </c>
      <c r="L83" s="10" t="str">
        <f>IF(C83="BC",'Mix Design'!$B$9,IF(C83="DBM",'Mix Design'!$C$9,""))</f>
        <v/>
      </c>
      <c r="M83" s="10" t="str">
        <f>IF(C83="BC",Inputs!$C$17,IF(C83="DBM",Inputs!$C$18,""))</f>
        <v/>
      </c>
      <c r="N83" s="10" t="e">
        <f t="shared" si="31"/>
        <v>#VALUE!</v>
      </c>
      <c r="O83" s="10" t="e">
        <f t="shared" si="32"/>
        <v>#VALUE!</v>
      </c>
      <c r="P83" s="10" t="e">
        <f t="shared" si="33"/>
        <v>#VALUE!</v>
      </c>
      <c r="Q83" s="23" t="e">
        <f>IF(AND(P83&gt;0,Inputs!$C$6&gt;0),P83/Inputs!$C$6*Inputs!$C$7,"")</f>
        <v>#VALUE!</v>
      </c>
      <c r="R83" s="23" t="str">
        <f>IF(C83="BC",'Rate Model'!$C$19,IF(C83="DBM",'Rate Model'!$E$19,""))</f>
        <v/>
      </c>
      <c r="S83" s="11" t="e">
        <f t="shared" si="34"/>
        <v>#VALUE!</v>
      </c>
      <c r="T83" s="11" t="str">
        <f>IF(A83&lt;&gt;"",Inputs!$C$47,"")</f>
        <v/>
      </c>
      <c r="U83" s="11" t="str">
        <f>IF(A83&lt;&gt;"",Inputs!$C$48,"")</f>
        <v/>
      </c>
      <c r="V83" s="11">
        <v>2</v>
      </c>
      <c r="W83" s="11" t="str">
        <f>IF(A83&lt;&gt;"",Inputs!$C$49,"")</f>
        <v/>
      </c>
      <c r="X83" s="23">
        <v>0</v>
      </c>
      <c r="Y83" s="23" t="e">
        <f t="shared" si="35"/>
        <v>#VALUE!</v>
      </c>
      <c r="Z83" s="23" t="e">
        <f t="shared" si="36"/>
        <v>#VALUE!</v>
      </c>
      <c r="AA83" s="5" t="str">
        <f>IF(A83&lt;&gt;"",Inputs!$C$57,"")</f>
        <v/>
      </c>
      <c r="AB83" s="6" t="e">
        <f t="shared" si="37"/>
        <v>#VALUE!</v>
      </c>
      <c r="AC83" s="6"/>
      <c r="AD83" s="23"/>
      <c r="AE83" s="23">
        <f>IF(AND(J83&gt;0,AC83&gt;0),J83*AC83*Inputs!$C$71,0)</f>
        <v>0</v>
      </c>
      <c r="AF83" s="23">
        <f>IF(AND(J83&gt;0,AD83&gt;0),J83*AD83*Inputs!$C$72,0)</f>
        <v>0</v>
      </c>
      <c r="AG83" s="23" t="e">
        <f t="shared" si="38"/>
        <v>#VALUE!</v>
      </c>
      <c r="AH83" s="23" t="e">
        <f t="shared" si="39"/>
        <v>#VALUE!</v>
      </c>
      <c r="AI83" s="23" t="e">
        <f t="shared" si="40"/>
        <v>#VALUE!</v>
      </c>
      <c r="AJ83" s="23" t="e">
        <f t="shared" si="41"/>
        <v>#VALUE!</v>
      </c>
    </row>
    <row r="84" spans="1:36" x14ac:dyDescent="0.2">
      <c r="A84" s="6"/>
      <c r="B84" s="6"/>
      <c r="C84" s="6"/>
      <c r="D84" s="6"/>
      <c r="E84" s="11"/>
      <c r="F84" s="11"/>
      <c r="G84" s="11"/>
      <c r="H84" s="11"/>
      <c r="I84" s="10" t="str">
        <f t="shared" si="28"/>
        <v/>
      </c>
      <c r="J84" s="10" t="str">
        <f t="shared" si="29"/>
        <v/>
      </c>
      <c r="K84" s="14" t="str">
        <f t="shared" si="30"/>
        <v/>
      </c>
      <c r="L84" s="10" t="str">
        <f>IF(C84="BC",'Mix Design'!$B$9,IF(C84="DBM",'Mix Design'!$C$9,""))</f>
        <v/>
      </c>
      <c r="M84" s="10" t="str">
        <f>IF(C84="BC",Inputs!$C$17,IF(C84="DBM",Inputs!$C$18,""))</f>
        <v/>
      </c>
      <c r="N84" s="10" t="e">
        <f t="shared" si="31"/>
        <v>#VALUE!</v>
      </c>
      <c r="O84" s="10" t="e">
        <f t="shared" si="32"/>
        <v>#VALUE!</v>
      </c>
      <c r="P84" s="10" t="e">
        <f t="shared" si="33"/>
        <v>#VALUE!</v>
      </c>
      <c r="Q84" s="23" t="e">
        <f>IF(AND(P84&gt;0,Inputs!$C$6&gt;0),P84/Inputs!$C$6*Inputs!$C$7,"")</f>
        <v>#VALUE!</v>
      </c>
      <c r="R84" s="23" t="str">
        <f>IF(C84="BC",'Rate Model'!$C$19,IF(C84="DBM",'Rate Model'!$E$19,""))</f>
        <v/>
      </c>
      <c r="S84" s="11" t="e">
        <f t="shared" si="34"/>
        <v>#VALUE!</v>
      </c>
      <c r="T84" s="11" t="str">
        <f>IF(A84&lt;&gt;"",Inputs!$C$47,"")</f>
        <v/>
      </c>
      <c r="U84" s="11" t="str">
        <f>IF(A84&lt;&gt;"",Inputs!$C$48,"")</f>
        <v/>
      </c>
      <c r="V84" s="11">
        <v>2</v>
      </c>
      <c r="W84" s="11" t="str">
        <f>IF(A84&lt;&gt;"",Inputs!$C$49,"")</f>
        <v/>
      </c>
      <c r="X84" s="23">
        <v>0</v>
      </c>
      <c r="Y84" s="23" t="e">
        <f t="shared" si="35"/>
        <v>#VALUE!</v>
      </c>
      <c r="Z84" s="23" t="e">
        <f t="shared" si="36"/>
        <v>#VALUE!</v>
      </c>
      <c r="AA84" s="5" t="str">
        <f>IF(A84&lt;&gt;"",Inputs!$C$57,"")</f>
        <v/>
      </c>
      <c r="AB84" s="6" t="e">
        <f t="shared" si="37"/>
        <v>#VALUE!</v>
      </c>
      <c r="AC84" s="6"/>
      <c r="AD84" s="23"/>
      <c r="AE84" s="23">
        <f>IF(AND(J84&gt;0,AC84&gt;0),J84*AC84*Inputs!$C$71,0)</f>
        <v>0</v>
      </c>
      <c r="AF84" s="23">
        <f>IF(AND(J84&gt;0,AD84&gt;0),J84*AD84*Inputs!$C$72,0)</f>
        <v>0</v>
      </c>
      <c r="AG84" s="23" t="e">
        <f t="shared" si="38"/>
        <v>#VALUE!</v>
      </c>
      <c r="AH84" s="23" t="e">
        <f t="shared" si="39"/>
        <v>#VALUE!</v>
      </c>
      <c r="AI84" s="23" t="e">
        <f t="shared" si="40"/>
        <v>#VALUE!</v>
      </c>
      <c r="AJ84" s="23" t="e">
        <f t="shared" si="41"/>
        <v>#VALUE!</v>
      </c>
    </row>
    <row r="85" spans="1:36" x14ac:dyDescent="0.2">
      <c r="A85" s="6"/>
      <c r="B85" s="6"/>
      <c r="C85" s="6"/>
      <c r="D85" s="6"/>
      <c r="E85" s="11"/>
      <c r="F85" s="11"/>
      <c r="G85" s="11"/>
      <c r="H85" s="11"/>
      <c r="I85" s="10" t="str">
        <f t="shared" si="28"/>
        <v/>
      </c>
      <c r="J85" s="10" t="str">
        <f t="shared" si="29"/>
        <v/>
      </c>
      <c r="K85" s="14" t="str">
        <f t="shared" si="30"/>
        <v/>
      </c>
      <c r="L85" s="10" t="str">
        <f>IF(C85="BC",'Mix Design'!$B$9,IF(C85="DBM",'Mix Design'!$C$9,""))</f>
        <v/>
      </c>
      <c r="M85" s="10" t="str">
        <f>IF(C85="BC",Inputs!$C$17,IF(C85="DBM",Inputs!$C$18,""))</f>
        <v/>
      </c>
      <c r="N85" s="10" t="e">
        <f t="shared" si="31"/>
        <v>#VALUE!</v>
      </c>
      <c r="O85" s="10" t="e">
        <f t="shared" si="32"/>
        <v>#VALUE!</v>
      </c>
      <c r="P85" s="10" t="e">
        <f t="shared" si="33"/>
        <v>#VALUE!</v>
      </c>
      <c r="Q85" s="23" t="e">
        <f>IF(AND(P85&gt;0,Inputs!$C$6&gt;0),P85/Inputs!$C$6*Inputs!$C$7,"")</f>
        <v>#VALUE!</v>
      </c>
      <c r="R85" s="23" t="str">
        <f>IF(C85="BC",'Rate Model'!$C$19,IF(C85="DBM",'Rate Model'!$E$19,""))</f>
        <v/>
      </c>
      <c r="S85" s="11" t="e">
        <f t="shared" si="34"/>
        <v>#VALUE!</v>
      </c>
      <c r="T85" s="11" t="str">
        <f>IF(A85&lt;&gt;"",Inputs!$C$47,"")</f>
        <v/>
      </c>
      <c r="U85" s="11" t="str">
        <f>IF(A85&lt;&gt;"",Inputs!$C$48,"")</f>
        <v/>
      </c>
      <c r="V85" s="11">
        <v>2</v>
      </c>
      <c r="W85" s="11" t="str">
        <f>IF(A85&lt;&gt;"",Inputs!$C$49,"")</f>
        <v/>
      </c>
      <c r="X85" s="23">
        <v>0</v>
      </c>
      <c r="Y85" s="23" t="e">
        <f t="shared" si="35"/>
        <v>#VALUE!</v>
      </c>
      <c r="Z85" s="23" t="e">
        <f t="shared" si="36"/>
        <v>#VALUE!</v>
      </c>
      <c r="AA85" s="5" t="str">
        <f>IF(A85&lt;&gt;"",Inputs!$C$57,"")</f>
        <v/>
      </c>
      <c r="AB85" s="6" t="e">
        <f t="shared" si="37"/>
        <v>#VALUE!</v>
      </c>
      <c r="AC85" s="6"/>
      <c r="AD85" s="23"/>
      <c r="AE85" s="23">
        <f>IF(AND(J85&gt;0,AC85&gt;0),J85*AC85*Inputs!$C$71,0)</f>
        <v>0</v>
      </c>
      <c r="AF85" s="23">
        <f>IF(AND(J85&gt;0,AD85&gt;0),J85*AD85*Inputs!$C$72,0)</f>
        <v>0</v>
      </c>
      <c r="AG85" s="23" t="e">
        <f t="shared" si="38"/>
        <v>#VALUE!</v>
      </c>
      <c r="AH85" s="23" t="e">
        <f t="shared" si="39"/>
        <v>#VALUE!</v>
      </c>
      <c r="AI85" s="23" t="e">
        <f t="shared" si="40"/>
        <v>#VALUE!</v>
      </c>
      <c r="AJ85" s="23" t="e">
        <f t="shared" si="41"/>
        <v>#VALUE!</v>
      </c>
    </row>
    <row r="86" spans="1:36" x14ac:dyDescent="0.2">
      <c r="A86" s="6"/>
      <c r="B86" s="6"/>
      <c r="C86" s="6"/>
      <c r="D86" s="6"/>
      <c r="E86" s="11"/>
      <c r="F86" s="11"/>
      <c r="G86" s="11"/>
      <c r="H86" s="11"/>
      <c r="I86" s="10" t="str">
        <f t="shared" si="28"/>
        <v/>
      </c>
      <c r="J86" s="10" t="str">
        <f t="shared" si="29"/>
        <v/>
      </c>
      <c r="K86" s="14" t="str">
        <f t="shared" si="30"/>
        <v/>
      </c>
      <c r="L86" s="10" t="str">
        <f>IF(C86="BC",'Mix Design'!$B$9,IF(C86="DBM",'Mix Design'!$C$9,""))</f>
        <v/>
      </c>
      <c r="M86" s="10" t="str">
        <f>IF(C86="BC",Inputs!$C$17,IF(C86="DBM",Inputs!$C$18,""))</f>
        <v/>
      </c>
      <c r="N86" s="10" t="e">
        <f t="shared" si="31"/>
        <v>#VALUE!</v>
      </c>
      <c r="O86" s="10" t="e">
        <f t="shared" si="32"/>
        <v>#VALUE!</v>
      </c>
      <c r="P86" s="10" t="e">
        <f t="shared" si="33"/>
        <v>#VALUE!</v>
      </c>
      <c r="Q86" s="23" t="e">
        <f>IF(AND(P86&gt;0,Inputs!$C$6&gt;0),P86/Inputs!$C$6*Inputs!$C$7,"")</f>
        <v>#VALUE!</v>
      </c>
      <c r="R86" s="23" t="str">
        <f>IF(C86="BC",'Rate Model'!$C$19,IF(C86="DBM",'Rate Model'!$E$19,""))</f>
        <v/>
      </c>
      <c r="S86" s="11" t="e">
        <f t="shared" si="34"/>
        <v>#VALUE!</v>
      </c>
      <c r="T86" s="11" t="str">
        <f>IF(A86&lt;&gt;"",Inputs!$C$47,"")</f>
        <v/>
      </c>
      <c r="U86" s="11" t="str">
        <f>IF(A86&lt;&gt;"",Inputs!$C$48,"")</f>
        <v/>
      </c>
      <c r="V86" s="11">
        <v>2</v>
      </c>
      <c r="W86" s="11" t="str">
        <f>IF(A86&lt;&gt;"",Inputs!$C$49,"")</f>
        <v/>
      </c>
      <c r="X86" s="23">
        <v>0</v>
      </c>
      <c r="Y86" s="23" t="e">
        <f t="shared" si="35"/>
        <v>#VALUE!</v>
      </c>
      <c r="Z86" s="23" t="e">
        <f t="shared" si="36"/>
        <v>#VALUE!</v>
      </c>
      <c r="AA86" s="5" t="str">
        <f>IF(A86&lt;&gt;"",Inputs!$C$57,"")</f>
        <v/>
      </c>
      <c r="AB86" s="6" t="e">
        <f t="shared" si="37"/>
        <v>#VALUE!</v>
      </c>
      <c r="AC86" s="6"/>
      <c r="AD86" s="23"/>
      <c r="AE86" s="23">
        <f>IF(AND(J86&gt;0,AC86&gt;0),J86*AC86*Inputs!$C$71,0)</f>
        <v>0</v>
      </c>
      <c r="AF86" s="23">
        <f>IF(AND(J86&gt;0,AD86&gt;0),J86*AD86*Inputs!$C$72,0)</f>
        <v>0</v>
      </c>
      <c r="AG86" s="23" t="e">
        <f t="shared" si="38"/>
        <v>#VALUE!</v>
      </c>
      <c r="AH86" s="23" t="e">
        <f t="shared" si="39"/>
        <v>#VALUE!</v>
      </c>
      <c r="AI86" s="23" t="e">
        <f t="shared" si="40"/>
        <v>#VALUE!</v>
      </c>
      <c r="AJ86" s="23" t="e">
        <f t="shared" si="41"/>
        <v>#VALUE!</v>
      </c>
    </row>
    <row r="87" spans="1:36" x14ac:dyDescent="0.2">
      <c r="A87" s="6"/>
      <c r="B87" s="6"/>
      <c r="C87" s="6"/>
      <c r="D87" s="6"/>
      <c r="E87" s="11"/>
      <c r="F87" s="11"/>
      <c r="G87" s="11"/>
      <c r="H87" s="11"/>
      <c r="I87" s="10" t="str">
        <f t="shared" si="28"/>
        <v/>
      </c>
      <c r="J87" s="10" t="str">
        <f t="shared" si="29"/>
        <v/>
      </c>
      <c r="K87" s="14" t="str">
        <f t="shared" si="30"/>
        <v/>
      </c>
      <c r="L87" s="10" t="str">
        <f>IF(C87="BC",'Mix Design'!$B$9,IF(C87="DBM",'Mix Design'!$C$9,""))</f>
        <v/>
      </c>
      <c r="M87" s="10" t="str">
        <f>IF(C87="BC",Inputs!$C$17,IF(C87="DBM",Inputs!$C$18,""))</f>
        <v/>
      </c>
      <c r="N87" s="10" t="e">
        <f t="shared" si="31"/>
        <v>#VALUE!</v>
      </c>
      <c r="O87" s="10" t="e">
        <f t="shared" si="32"/>
        <v>#VALUE!</v>
      </c>
      <c r="P87" s="10" t="e">
        <f t="shared" si="33"/>
        <v>#VALUE!</v>
      </c>
      <c r="Q87" s="23" t="e">
        <f>IF(AND(P87&gt;0,Inputs!$C$6&gt;0),P87/Inputs!$C$6*Inputs!$C$7,"")</f>
        <v>#VALUE!</v>
      </c>
      <c r="R87" s="23" t="str">
        <f>IF(C87="BC",'Rate Model'!$C$19,IF(C87="DBM",'Rate Model'!$E$19,""))</f>
        <v/>
      </c>
      <c r="S87" s="11" t="e">
        <f t="shared" si="34"/>
        <v>#VALUE!</v>
      </c>
      <c r="T87" s="11" t="str">
        <f>IF(A87&lt;&gt;"",Inputs!$C$47,"")</f>
        <v/>
      </c>
      <c r="U87" s="11" t="str">
        <f>IF(A87&lt;&gt;"",Inputs!$C$48,"")</f>
        <v/>
      </c>
      <c r="V87" s="11">
        <v>2</v>
      </c>
      <c r="W87" s="11" t="str">
        <f>IF(A87&lt;&gt;"",Inputs!$C$49,"")</f>
        <v/>
      </c>
      <c r="X87" s="23">
        <v>0</v>
      </c>
      <c r="Y87" s="23" t="e">
        <f t="shared" si="35"/>
        <v>#VALUE!</v>
      </c>
      <c r="Z87" s="23" t="e">
        <f t="shared" si="36"/>
        <v>#VALUE!</v>
      </c>
      <c r="AA87" s="5" t="str">
        <f>IF(A87&lt;&gt;"",Inputs!$C$57,"")</f>
        <v/>
      </c>
      <c r="AB87" s="6" t="e">
        <f t="shared" si="37"/>
        <v>#VALUE!</v>
      </c>
      <c r="AC87" s="6"/>
      <c r="AD87" s="23"/>
      <c r="AE87" s="23">
        <f>IF(AND(J87&gt;0,AC87&gt;0),J87*AC87*Inputs!$C$71,0)</f>
        <v>0</v>
      </c>
      <c r="AF87" s="23">
        <f>IF(AND(J87&gt;0,AD87&gt;0),J87*AD87*Inputs!$C$72,0)</f>
        <v>0</v>
      </c>
      <c r="AG87" s="23" t="e">
        <f t="shared" si="38"/>
        <v>#VALUE!</v>
      </c>
      <c r="AH87" s="23" t="e">
        <f t="shared" si="39"/>
        <v>#VALUE!</v>
      </c>
      <c r="AI87" s="23" t="e">
        <f t="shared" si="40"/>
        <v>#VALUE!</v>
      </c>
      <c r="AJ87" s="23" t="e">
        <f t="shared" si="41"/>
        <v>#VALUE!</v>
      </c>
    </row>
    <row r="88" spans="1:36" x14ac:dyDescent="0.2">
      <c r="A88" s="6"/>
      <c r="B88" s="6"/>
      <c r="C88" s="6"/>
      <c r="D88" s="6"/>
      <c r="E88" s="11"/>
      <c r="F88" s="11"/>
      <c r="G88" s="11"/>
      <c r="H88" s="11"/>
      <c r="I88" s="10" t="str">
        <f t="shared" si="28"/>
        <v/>
      </c>
      <c r="J88" s="10" t="str">
        <f t="shared" si="29"/>
        <v/>
      </c>
      <c r="K88" s="14" t="str">
        <f t="shared" si="30"/>
        <v/>
      </c>
      <c r="L88" s="10" t="str">
        <f>IF(C88="BC",'Mix Design'!$B$9,IF(C88="DBM",'Mix Design'!$C$9,""))</f>
        <v/>
      </c>
      <c r="M88" s="10" t="str">
        <f>IF(C88="BC",Inputs!$C$17,IF(C88="DBM",Inputs!$C$18,""))</f>
        <v/>
      </c>
      <c r="N88" s="10" t="e">
        <f t="shared" si="31"/>
        <v>#VALUE!</v>
      </c>
      <c r="O88" s="10" t="e">
        <f t="shared" si="32"/>
        <v>#VALUE!</v>
      </c>
      <c r="P88" s="10" t="e">
        <f t="shared" si="33"/>
        <v>#VALUE!</v>
      </c>
      <c r="Q88" s="23" t="e">
        <f>IF(AND(P88&gt;0,Inputs!$C$6&gt;0),P88/Inputs!$C$6*Inputs!$C$7,"")</f>
        <v>#VALUE!</v>
      </c>
      <c r="R88" s="23" t="str">
        <f>IF(C88="BC",'Rate Model'!$C$19,IF(C88="DBM",'Rate Model'!$E$19,""))</f>
        <v/>
      </c>
      <c r="S88" s="11" t="e">
        <f t="shared" si="34"/>
        <v>#VALUE!</v>
      </c>
      <c r="T88" s="11" t="str">
        <f>IF(A88&lt;&gt;"",Inputs!$C$47,"")</f>
        <v/>
      </c>
      <c r="U88" s="11" t="str">
        <f>IF(A88&lt;&gt;"",Inputs!$C$48,"")</f>
        <v/>
      </c>
      <c r="V88" s="11">
        <v>2</v>
      </c>
      <c r="W88" s="11" t="str">
        <f>IF(A88&lt;&gt;"",Inputs!$C$49,"")</f>
        <v/>
      </c>
      <c r="X88" s="23">
        <v>0</v>
      </c>
      <c r="Y88" s="23" t="e">
        <f t="shared" si="35"/>
        <v>#VALUE!</v>
      </c>
      <c r="Z88" s="23" t="e">
        <f t="shared" si="36"/>
        <v>#VALUE!</v>
      </c>
      <c r="AA88" s="5" t="str">
        <f>IF(A88&lt;&gt;"",Inputs!$C$57,"")</f>
        <v/>
      </c>
      <c r="AB88" s="6" t="e">
        <f t="shared" si="37"/>
        <v>#VALUE!</v>
      </c>
      <c r="AC88" s="6"/>
      <c r="AD88" s="23"/>
      <c r="AE88" s="23">
        <f>IF(AND(J88&gt;0,AC88&gt;0),J88*AC88*Inputs!$C$71,0)</f>
        <v>0</v>
      </c>
      <c r="AF88" s="23">
        <f>IF(AND(J88&gt;0,AD88&gt;0),J88*AD88*Inputs!$C$72,0)</f>
        <v>0</v>
      </c>
      <c r="AG88" s="23" t="e">
        <f t="shared" si="38"/>
        <v>#VALUE!</v>
      </c>
      <c r="AH88" s="23" t="e">
        <f t="shared" si="39"/>
        <v>#VALUE!</v>
      </c>
      <c r="AI88" s="23" t="e">
        <f t="shared" si="40"/>
        <v>#VALUE!</v>
      </c>
      <c r="AJ88" s="23" t="e">
        <f t="shared" si="41"/>
        <v>#VALUE!</v>
      </c>
    </row>
    <row r="89" spans="1:36" x14ac:dyDescent="0.2">
      <c r="A89" s="6"/>
      <c r="B89" s="6"/>
      <c r="C89" s="6"/>
      <c r="D89" s="6"/>
      <c r="E89" s="11"/>
      <c r="F89" s="11"/>
      <c r="G89" s="11"/>
      <c r="H89" s="11"/>
      <c r="I89" s="10" t="str">
        <f t="shared" si="28"/>
        <v/>
      </c>
      <c r="J89" s="10" t="str">
        <f t="shared" si="29"/>
        <v/>
      </c>
      <c r="K89" s="14" t="str">
        <f t="shared" si="30"/>
        <v/>
      </c>
      <c r="L89" s="10" t="str">
        <f>IF(C89="BC",'Mix Design'!$B$9,IF(C89="DBM",'Mix Design'!$C$9,""))</f>
        <v/>
      </c>
      <c r="M89" s="10" t="str">
        <f>IF(C89="BC",Inputs!$C$17,IF(C89="DBM",Inputs!$C$18,""))</f>
        <v/>
      </c>
      <c r="N89" s="10" t="e">
        <f t="shared" si="31"/>
        <v>#VALUE!</v>
      </c>
      <c r="O89" s="10" t="e">
        <f t="shared" si="32"/>
        <v>#VALUE!</v>
      </c>
      <c r="P89" s="10" t="e">
        <f t="shared" si="33"/>
        <v>#VALUE!</v>
      </c>
      <c r="Q89" s="23" t="e">
        <f>IF(AND(P89&gt;0,Inputs!$C$6&gt;0),P89/Inputs!$C$6*Inputs!$C$7,"")</f>
        <v>#VALUE!</v>
      </c>
      <c r="R89" s="23" t="str">
        <f>IF(C89="BC",'Rate Model'!$C$19,IF(C89="DBM",'Rate Model'!$E$19,""))</f>
        <v/>
      </c>
      <c r="S89" s="11" t="e">
        <f t="shared" si="34"/>
        <v>#VALUE!</v>
      </c>
      <c r="T89" s="11" t="str">
        <f>IF(A89&lt;&gt;"",Inputs!$C$47,"")</f>
        <v/>
      </c>
      <c r="U89" s="11" t="str">
        <f>IF(A89&lt;&gt;"",Inputs!$C$48,"")</f>
        <v/>
      </c>
      <c r="V89" s="11">
        <v>2</v>
      </c>
      <c r="W89" s="11" t="str">
        <f>IF(A89&lt;&gt;"",Inputs!$C$49,"")</f>
        <v/>
      </c>
      <c r="X89" s="23">
        <v>0</v>
      </c>
      <c r="Y89" s="23" t="e">
        <f t="shared" si="35"/>
        <v>#VALUE!</v>
      </c>
      <c r="Z89" s="23" t="e">
        <f t="shared" si="36"/>
        <v>#VALUE!</v>
      </c>
      <c r="AA89" s="5" t="str">
        <f>IF(A89&lt;&gt;"",Inputs!$C$57,"")</f>
        <v/>
      </c>
      <c r="AB89" s="6" t="e">
        <f t="shared" si="37"/>
        <v>#VALUE!</v>
      </c>
      <c r="AC89" s="6"/>
      <c r="AD89" s="23"/>
      <c r="AE89" s="23">
        <f>IF(AND(J89&gt;0,AC89&gt;0),J89*AC89*Inputs!$C$71,0)</f>
        <v>0</v>
      </c>
      <c r="AF89" s="23">
        <f>IF(AND(J89&gt;0,AD89&gt;0),J89*AD89*Inputs!$C$72,0)</f>
        <v>0</v>
      </c>
      <c r="AG89" s="23" t="e">
        <f t="shared" si="38"/>
        <v>#VALUE!</v>
      </c>
      <c r="AH89" s="23" t="e">
        <f t="shared" si="39"/>
        <v>#VALUE!</v>
      </c>
      <c r="AI89" s="23" t="e">
        <f t="shared" si="40"/>
        <v>#VALUE!</v>
      </c>
      <c r="AJ89" s="23" t="e">
        <f t="shared" si="41"/>
        <v>#VALUE!</v>
      </c>
    </row>
    <row r="90" spans="1:36" x14ac:dyDescent="0.2">
      <c r="A90" s="6"/>
      <c r="B90" s="6"/>
      <c r="C90" s="6"/>
      <c r="D90" s="6"/>
      <c r="E90" s="11"/>
      <c r="F90" s="11"/>
      <c r="G90" s="11"/>
      <c r="H90" s="11"/>
      <c r="I90" s="10" t="str">
        <f t="shared" si="28"/>
        <v/>
      </c>
      <c r="J90" s="10" t="str">
        <f t="shared" si="29"/>
        <v/>
      </c>
      <c r="K90" s="14" t="str">
        <f t="shared" si="30"/>
        <v/>
      </c>
      <c r="L90" s="10" t="str">
        <f>IF(C90="BC",'Mix Design'!$B$9,IF(C90="DBM",'Mix Design'!$C$9,""))</f>
        <v/>
      </c>
      <c r="M90" s="10" t="str">
        <f>IF(C90="BC",Inputs!$C$17,IF(C90="DBM",Inputs!$C$18,""))</f>
        <v/>
      </c>
      <c r="N90" s="10" t="e">
        <f t="shared" si="31"/>
        <v>#VALUE!</v>
      </c>
      <c r="O90" s="10" t="e">
        <f t="shared" si="32"/>
        <v>#VALUE!</v>
      </c>
      <c r="P90" s="10" t="e">
        <f t="shared" si="33"/>
        <v>#VALUE!</v>
      </c>
      <c r="Q90" s="23" t="e">
        <f>IF(AND(P90&gt;0,Inputs!$C$6&gt;0),P90/Inputs!$C$6*Inputs!$C$7,"")</f>
        <v>#VALUE!</v>
      </c>
      <c r="R90" s="23" t="str">
        <f>IF(C90="BC",'Rate Model'!$C$19,IF(C90="DBM",'Rate Model'!$E$19,""))</f>
        <v/>
      </c>
      <c r="S90" s="11" t="e">
        <f t="shared" si="34"/>
        <v>#VALUE!</v>
      </c>
      <c r="T90" s="11" t="str">
        <f>IF(A90&lt;&gt;"",Inputs!$C$47,"")</f>
        <v/>
      </c>
      <c r="U90" s="11" t="str">
        <f>IF(A90&lt;&gt;"",Inputs!$C$48,"")</f>
        <v/>
      </c>
      <c r="V90" s="11">
        <v>2</v>
      </c>
      <c r="W90" s="11" t="str">
        <f>IF(A90&lt;&gt;"",Inputs!$C$49,"")</f>
        <v/>
      </c>
      <c r="X90" s="23">
        <v>0</v>
      </c>
      <c r="Y90" s="23" t="e">
        <f t="shared" si="35"/>
        <v>#VALUE!</v>
      </c>
      <c r="Z90" s="23" t="e">
        <f t="shared" si="36"/>
        <v>#VALUE!</v>
      </c>
      <c r="AA90" s="5" t="str">
        <f>IF(A90&lt;&gt;"",Inputs!$C$57,"")</f>
        <v/>
      </c>
      <c r="AB90" s="6" t="e">
        <f t="shared" si="37"/>
        <v>#VALUE!</v>
      </c>
      <c r="AC90" s="6"/>
      <c r="AD90" s="23"/>
      <c r="AE90" s="23">
        <f>IF(AND(J90&gt;0,AC90&gt;0),J90*AC90*Inputs!$C$71,0)</f>
        <v>0</v>
      </c>
      <c r="AF90" s="23">
        <f>IF(AND(J90&gt;0,AD90&gt;0),J90*AD90*Inputs!$C$72,0)</f>
        <v>0</v>
      </c>
      <c r="AG90" s="23" t="e">
        <f t="shared" si="38"/>
        <v>#VALUE!</v>
      </c>
      <c r="AH90" s="23" t="e">
        <f t="shared" si="39"/>
        <v>#VALUE!</v>
      </c>
      <c r="AI90" s="23" t="e">
        <f t="shared" si="40"/>
        <v>#VALUE!</v>
      </c>
      <c r="AJ90" s="23" t="e">
        <f t="shared" si="41"/>
        <v>#VALUE!</v>
      </c>
    </row>
    <row r="91" spans="1:36" x14ac:dyDescent="0.2">
      <c r="A91" s="6"/>
      <c r="B91" s="6"/>
      <c r="C91" s="6"/>
      <c r="D91" s="6"/>
      <c r="E91" s="11"/>
      <c r="F91" s="11"/>
      <c r="G91" s="11"/>
      <c r="H91" s="11"/>
      <c r="I91" s="10" t="str">
        <f t="shared" si="28"/>
        <v/>
      </c>
      <c r="J91" s="10" t="str">
        <f t="shared" si="29"/>
        <v/>
      </c>
      <c r="K91" s="14" t="str">
        <f t="shared" si="30"/>
        <v/>
      </c>
      <c r="L91" s="10" t="str">
        <f>IF(C91="BC",'Mix Design'!$B$9,IF(C91="DBM",'Mix Design'!$C$9,""))</f>
        <v/>
      </c>
      <c r="M91" s="10" t="str">
        <f>IF(C91="BC",Inputs!$C$17,IF(C91="DBM",Inputs!$C$18,""))</f>
        <v/>
      </c>
      <c r="N91" s="10" t="e">
        <f t="shared" si="31"/>
        <v>#VALUE!</v>
      </c>
      <c r="O91" s="10" t="e">
        <f t="shared" si="32"/>
        <v>#VALUE!</v>
      </c>
      <c r="P91" s="10" t="e">
        <f t="shared" si="33"/>
        <v>#VALUE!</v>
      </c>
      <c r="Q91" s="23" t="e">
        <f>IF(AND(P91&gt;0,Inputs!$C$6&gt;0),P91/Inputs!$C$6*Inputs!$C$7,"")</f>
        <v>#VALUE!</v>
      </c>
      <c r="R91" s="23" t="str">
        <f>IF(C91="BC",'Rate Model'!$C$19,IF(C91="DBM",'Rate Model'!$E$19,""))</f>
        <v/>
      </c>
      <c r="S91" s="11" t="e">
        <f t="shared" si="34"/>
        <v>#VALUE!</v>
      </c>
      <c r="T91" s="11" t="str">
        <f>IF(A91&lt;&gt;"",Inputs!$C$47,"")</f>
        <v/>
      </c>
      <c r="U91" s="11" t="str">
        <f>IF(A91&lt;&gt;"",Inputs!$C$48,"")</f>
        <v/>
      </c>
      <c r="V91" s="11">
        <v>2</v>
      </c>
      <c r="W91" s="11" t="str">
        <f>IF(A91&lt;&gt;"",Inputs!$C$49,"")</f>
        <v/>
      </c>
      <c r="X91" s="23">
        <v>0</v>
      </c>
      <c r="Y91" s="23" t="e">
        <f t="shared" si="35"/>
        <v>#VALUE!</v>
      </c>
      <c r="Z91" s="23" t="e">
        <f t="shared" si="36"/>
        <v>#VALUE!</v>
      </c>
      <c r="AA91" s="5" t="str">
        <f>IF(A91&lt;&gt;"",Inputs!$C$57,"")</f>
        <v/>
      </c>
      <c r="AB91" s="6" t="e">
        <f t="shared" si="37"/>
        <v>#VALUE!</v>
      </c>
      <c r="AC91" s="6"/>
      <c r="AD91" s="23"/>
      <c r="AE91" s="23">
        <f>IF(AND(J91&gt;0,AC91&gt;0),J91*AC91*Inputs!$C$71,0)</f>
        <v>0</v>
      </c>
      <c r="AF91" s="23">
        <f>IF(AND(J91&gt;0,AD91&gt;0),J91*AD91*Inputs!$C$72,0)</f>
        <v>0</v>
      </c>
      <c r="AG91" s="23" t="e">
        <f t="shared" si="38"/>
        <v>#VALUE!</v>
      </c>
      <c r="AH91" s="23" t="e">
        <f t="shared" si="39"/>
        <v>#VALUE!</v>
      </c>
      <c r="AI91" s="23" t="e">
        <f t="shared" si="40"/>
        <v>#VALUE!</v>
      </c>
      <c r="AJ91" s="23" t="e">
        <f t="shared" si="41"/>
        <v>#VALUE!</v>
      </c>
    </row>
    <row r="92" spans="1:36" x14ac:dyDescent="0.2">
      <c r="A92" s="6"/>
      <c r="B92" s="6"/>
      <c r="C92" s="6"/>
      <c r="D92" s="6"/>
      <c r="E92" s="11"/>
      <c r="F92" s="11"/>
      <c r="G92" s="11"/>
      <c r="H92" s="11"/>
      <c r="I92" s="10" t="str">
        <f t="shared" si="28"/>
        <v/>
      </c>
      <c r="J92" s="10" t="str">
        <f t="shared" si="29"/>
        <v/>
      </c>
      <c r="K92" s="14" t="str">
        <f t="shared" si="30"/>
        <v/>
      </c>
      <c r="L92" s="10" t="str">
        <f>IF(C92="BC",'Mix Design'!$B$9,IF(C92="DBM",'Mix Design'!$C$9,""))</f>
        <v/>
      </c>
      <c r="M92" s="10" t="str">
        <f>IF(C92="BC",Inputs!$C$17,IF(C92="DBM",Inputs!$C$18,""))</f>
        <v/>
      </c>
      <c r="N92" s="10" t="e">
        <f t="shared" si="31"/>
        <v>#VALUE!</v>
      </c>
      <c r="O92" s="10" t="e">
        <f t="shared" si="32"/>
        <v>#VALUE!</v>
      </c>
      <c r="P92" s="10" t="e">
        <f t="shared" si="33"/>
        <v>#VALUE!</v>
      </c>
      <c r="Q92" s="23" t="e">
        <f>IF(AND(P92&gt;0,Inputs!$C$6&gt;0),P92/Inputs!$C$6*Inputs!$C$7,"")</f>
        <v>#VALUE!</v>
      </c>
      <c r="R92" s="23" t="str">
        <f>IF(C92="BC",'Rate Model'!$C$19,IF(C92="DBM",'Rate Model'!$E$19,""))</f>
        <v/>
      </c>
      <c r="S92" s="11" t="e">
        <f t="shared" si="34"/>
        <v>#VALUE!</v>
      </c>
      <c r="T92" s="11" t="str">
        <f>IF(A92&lt;&gt;"",Inputs!$C$47,"")</f>
        <v/>
      </c>
      <c r="U92" s="11" t="str">
        <f>IF(A92&lt;&gt;"",Inputs!$C$48,"")</f>
        <v/>
      </c>
      <c r="V92" s="11">
        <v>2</v>
      </c>
      <c r="W92" s="11" t="str">
        <f>IF(A92&lt;&gt;"",Inputs!$C$49,"")</f>
        <v/>
      </c>
      <c r="X92" s="23">
        <v>0</v>
      </c>
      <c r="Y92" s="23" t="e">
        <f t="shared" si="35"/>
        <v>#VALUE!</v>
      </c>
      <c r="Z92" s="23" t="e">
        <f t="shared" si="36"/>
        <v>#VALUE!</v>
      </c>
      <c r="AA92" s="5" t="str">
        <f>IF(A92&lt;&gt;"",Inputs!$C$57,"")</f>
        <v/>
      </c>
      <c r="AB92" s="6" t="e">
        <f t="shared" si="37"/>
        <v>#VALUE!</v>
      </c>
      <c r="AC92" s="6"/>
      <c r="AD92" s="23"/>
      <c r="AE92" s="23">
        <f>IF(AND(J92&gt;0,AC92&gt;0),J92*AC92*Inputs!$C$71,0)</f>
        <v>0</v>
      </c>
      <c r="AF92" s="23">
        <f>IF(AND(J92&gt;0,AD92&gt;0),J92*AD92*Inputs!$C$72,0)</f>
        <v>0</v>
      </c>
      <c r="AG92" s="23" t="e">
        <f t="shared" si="38"/>
        <v>#VALUE!</v>
      </c>
      <c r="AH92" s="23" t="e">
        <f t="shared" si="39"/>
        <v>#VALUE!</v>
      </c>
      <c r="AI92" s="23" t="e">
        <f t="shared" si="40"/>
        <v>#VALUE!</v>
      </c>
      <c r="AJ92" s="23" t="e">
        <f t="shared" si="41"/>
        <v>#VALUE!</v>
      </c>
    </row>
    <row r="93" spans="1:36" x14ac:dyDescent="0.2">
      <c r="A93" s="6"/>
      <c r="B93" s="6"/>
      <c r="C93" s="6"/>
      <c r="D93" s="6"/>
      <c r="E93" s="11"/>
      <c r="F93" s="11"/>
      <c r="G93" s="11"/>
      <c r="H93" s="11"/>
      <c r="I93" s="10" t="str">
        <f t="shared" si="28"/>
        <v/>
      </c>
      <c r="J93" s="10" t="str">
        <f t="shared" si="29"/>
        <v/>
      </c>
      <c r="K93" s="14" t="str">
        <f t="shared" si="30"/>
        <v/>
      </c>
      <c r="L93" s="10" t="str">
        <f>IF(C93="BC",'Mix Design'!$B$9,IF(C93="DBM",'Mix Design'!$C$9,""))</f>
        <v/>
      </c>
      <c r="M93" s="10" t="str">
        <f>IF(C93="BC",Inputs!$C$17,IF(C93="DBM",Inputs!$C$18,""))</f>
        <v/>
      </c>
      <c r="N93" s="10" t="e">
        <f t="shared" si="31"/>
        <v>#VALUE!</v>
      </c>
      <c r="O93" s="10" t="e">
        <f t="shared" si="32"/>
        <v>#VALUE!</v>
      </c>
      <c r="P93" s="10" t="e">
        <f t="shared" si="33"/>
        <v>#VALUE!</v>
      </c>
      <c r="Q93" s="23" t="e">
        <f>IF(AND(P93&gt;0,Inputs!$C$6&gt;0),P93/Inputs!$C$6*Inputs!$C$7,"")</f>
        <v>#VALUE!</v>
      </c>
      <c r="R93" s="23" t="str">
        <f>IF(C93="BC",'Rate Model'!$C$19,IF(C93="DBM",'Rate Model'!$E$19,""))</f>
        <v/>
      </c>
      <c r="S93" s="11" t="e">
        <f t="shared" si="34"/>
        <v>#VALUE!</v>
      </c>
      <c r="T93" s="11" t="str">
        <f>IF(A93&lt;&gt;"",Inputs!$C$47,"")</f>
        <v/>
      </c>
      <c r="U93" s="11" t="str">
        <f>IF(A93&lt;&gt;"",Inputs!$C$48,"")</f>
        <v/>
      </c>
      <c r="V93" s="11">
        <v>2</v>
      </c>
      <c r="W93" s="11" t="str">
        <f>IF(A93&lt;&gt;"",Inputs!$C$49,"")</f>
        <v/>
      </c>
      <c r="X93" s="23">
        <v>0</v>
      </c>
      <c r="Y93" s="23" t="e">
        <f t="shared" si="35"/>
        <v>#VALUE!</v>
      </c>
      <c r="Z93" s="23" t="e">
        <f t="shared" si="36"/>
        <v>#VALUE!</v>
      </c>
      <c r="AA93" s="5" t="str">
        <f>IF(A93&lt;&gt;"",Inputs!$C$57,"")</f>
        <v/>
      </c>
      <c r="AB93" s="6" t="e">
        <f t="shared" si="37"/>
        <v>#VALUE!</v>
      </c>
      <c r="AC93" s="6"/>
      <c r="AD93" s="23"/>
      <c r="AE93" s="23">
        <f>IF(AND(J93&gt;0,AC93&gt;0),J93*AC93*Inputs!$C$71,0)</f>
        <v>0</v>
      </c>
      <c r="AF93" s="23">
        <f>IF(AND(J93&gt;0,AD93&gt;0),J93*AD93*Inputs!$C$72,0)</f>
        <v>0</v>
      </c>
      <c r="AG93" s="23" t="e">
        <f t="shared" si="38"/>
        <v>#VALUE!</v>
      </c>
      <c r="AH93" s="23" t="e">
        <f t="shared" si="39"/>
        <v>#VALUE!</v>
      </c>
      <c r="AI93" s="23" t="e">
        <f t="shared" si="40"/>
        <v>#VALUE!</v>
      </c>
      <c r="AJ93" s="23" t="e">
        <f t="shared" si="41"/>
        <v>#VALUE!</v>
      </c>
    </row>
    <row r="94" spans="1:36" x14ac:dyDescent="0.2">
      <c r="A94" s="6"/>
      <c r="B94" s="6"/>
      <c r="C94" s="6"/>
      <c r="D94" s="6"/>
      <c r="E94" s="11"/>
      <c r="F94" s="11"/>
      <c r="G94" s="11"/>
      <c r="H94" s="11"/>
      <c r="I94" s="10" t="str">
        <f t="shared" si="28"/>
        <v/>
      </c>
      <c r="J94" s="10" t="str">
        <f t="shared" si="29"/>
        <v/>
      </c>
      <c r="K94" s="14" t="str">
        <f t="shared" si="30"/>
        <v/>
      </c>
      <c r="L94" s="10" t="str">
        <f>IF(C94="BC",'Mix Design'!$B$9,IF(C94="DBM",'Mix Design'!$C$9,""))</f>
        <v/>
      </c>
      <c r="M94" s="10" t="str">
        <f>IF(C94="BC",Inputs!$C$17,IF(C94="DBM",Inputs!$C$18,""))</f>
        <v/>
      </c>
      <c r="N94" s="10" t="e">
        <f t="shared" si="31"/>
        <v>#VALUE!</v>
      </c>
      <c r="O94" s="10" t="e">
        <f t="shared" si="32"/>
        <v>#VALUE!</v>
      </c>
      <c r="P94" s="10" t="e">
        <f t="shared" si="33"/>
        <v>#VALUE!</v>
      </c>
      <c r="Q94" s="23" t="e">
        <f>IF(AND(P94&gt;0,Inputs!$C$6&gt;0),P94/Inputs!$C$6*Inputs!$C$7,"")</f>
        <v>#VALUE!</v>
      </c>
      <c r="R94" s="23" t="str">
        <f>IF(C94="BC",'Rate Model'!$C$19,IF(C94="DBM",'Rate Model'!$E$19,""))</f>
        <v/>
      </c>
      <c r="S94" s="11" t="e">
        <f t="shared" si="34"/>
        <v>#VALUE!</v>
      </c>
      <c r="T94" s="11" t="str">
        <f>IF(A94&lt;&gt;"",Inputs!$C$47,"")</f>
        <v/>
      </c>
      <c r="U94" s="11" t="str">
        <f>IF(A94&lt;&gt;"",Inputs!$C$48,"")</f>
        <v/>
      </c>
      <c r="V94" s="11">
        <v>2</v>
      </c>
      <c r="W94" s="11" t="str">
        <f>IF(A94&lt;&gt;"",Inputs!$C$49,"")</f>
        <v/>
      </c>
      <c r="X94" s="23">
        <v>0</v>
      </c>
      <c r="Y94" s="23" t="e">
        <f t="shared" si="35"/>
        <v>#VALUE!</v>
      </c>
      <c r="Z94" s="23" t="e">
        <f t="shared" si="36"/>
        <v>#VALUE!</v>
      </c>
      <c r="AA94" s="5" t="str">
        <f>IF(A94&lt;&gt;"",Inputs!$C$57,"")</f>
        <v/>
      </c>
      <c r="AB94" s="6" t="e">
        <f t="shared" si="37"/>
        <v>#VALUE!</v>
      </c>
      <c r="AC94" s="6"/>
      <c r="AD94" s="23"/>
      <c r="AE94" s="23">
        <f>IF(AND(J94&gt;0,AC94&gt;0),J94*AC94*Inputs!$C$71,0)</f>
        <v>0</v>
      </c>
      <c r="AF94" s="23">
        <f>IF(AND(J94&gt;0,AD94&gt;0),J94*AD94*Inputs!$C$72,0)</f>
        <v>0</v>
      </c>
      <c r="AG94" s="23" t="e">
        <f t="shared" si="38"/>
        <v>#VALUE!</v>
      </c>
      <c r="AH94" s="23" t="e">
        <f t="shared" si="39"/>
        <v>#VALUE!</v>
      </c>
      <c r="AI94" s="23" t="e">
        <f t="shared" si="40"/>
        <v>#VALUE!</v>
      </c>
      <c r="AJ94" s="23" t="e">
        <f t="shared" si="41"/>
        <v>#VALUE!</v>
      </c>
    </row>
    <row r="95" spans="1:36" x14ac:dyDescent="0.2">
      <c r="A95" s="6"/>
      <c r="B95" s="6"/>
      <c r="C95" s="6"/>
      <c r="D95" s="6"/>
      <c r="E95" s="11"/>
      <c r="F95" s="11"/>
      <c r="G95" s="11"/>
      <c r="H95" s="11"/>
      <c r="I95" s="10" t="str">
        <f t="shared" si="28"/>
        <v/>
      </c>
      <c r="J95" s="10" t="str">
        <f t="shared" si="29"/>
        <v/>
      </c>
      <c r="K95" s="14" t="str">
        <f t="shared" si="30"/>
        <v/>
      </c>
      <c r="L95" s="10" t="str">
        <f>IF(C95="BC",'Mix Design'!$B$9,IF(C95="DBM",'Mix Design'!$C$9,""))</f>
        <v/>
      </c>
      <c r="M95" s="10" t="str">
        <f>IF(C95="BC",Inputs!$C$17,IF(C95="DBM",Inputs!$C$18,""))</f>
        <v/>
      </c>
      <c r="N95" s="10" t="e">
        <f t="shared" si="31"/>
        <v>#VALUE!</v>
      </c>
      <c r="O95" s="10" t="e">
        <f t="shared" si="32"/>
        <v>#VALUE!</v>
      </c>
      <c r="P95" s="10" t="e">
        <f t="shared" si="33"/>
        <v>#VALUE!</v>
      </c>
      <c r="Q95" s="23" t="e">
        <f>IF(AND(P95&gt;0,Inputs!$C$6&gt;0),P95/Inputs!$C$6*Inputs!$C$7,"")</f>
        <v>#VALUE!</v>
      </c>
      <c r="R95" s="23" t="str">
        <f>IF(C95="BC",'Rate Model'!$C$19,IF(C95="DBM",'Rate Model'!$E$19,""))</f>
        <v/>
      </c>
      <c r="S95" s="11" t="e">
        <f t="shared" si="34"/>
        <v>#VALUE!</v>
      </c>
      <c r="T95" s="11" t="str">
        <f>IF(A95&lt;&gt;"",Inputs!$C$47,"")</f>
        <v/>
      </c>
      <c r="U95" s="11" t="str">
        <f>IF(A95&lt;&gt;"",Inputs!$C$48,"")</f>
        <v/>
      </c>
      <c r="V95" s="11">
        <v>2</v>
      </c>
      <c r="W95" s="11" t="str">
        <f>IF(A95&lt;&gt;"",Inputs!$C$49,"")</f>
        <v/>
      </c>
      <c r="X95" s="23">
        <v>0</v>
      </c>
      <c r="Y95" s="23" t="e">
        <f t="shared" si="35"/>
        <v>#VALUE!</v>
      </c>
      <c r="Z95" s="23" t="e">
        <f t="shared" si="36"/>
        <v>#VALUE!</v>
      </c>
      <c r="AA95" s="5" t="str">
        <f>IF(A95&lt;&gt;"",Inputs!$C$57,"")</f>
        <v/>
      </c>
      <c r="AB95" s="6" t="e">
        <f t="shared" si="37"/>
        <v>#VALUE!</v>
      </c>
      <c r="AC95" s="6"/>
      <c r="AD95" s="23"/>
      <c r="AE95" s="23">
        <f>IF(AND(J95&gt;0,AC95&gt;0),J95*AC95*Inputs!$C$71,0)</f>
        <v>0</v>
      </c>
      <c r="AF95" s="23">
        <f>IF(AND(J95&gt;0,AD95&gt;0),J95*AD95*Inputs!$C$72,0)</f>
        <v>0</v>
      </c>
      <c r="AG95" s="23" t="e">
        <f t="shared" si="38"/>
        <v>#VALUE!</v>
      </c>
      <c r="AH95" s="23" t="e">
        <f t="shared" si="39"/>
        <v>#VALUE!</v>
      </c>
      <c r="AI95" s="23" t="e">
        <f t="shared" si="40"/>
        <v>#VALUE!</v>
      </c>
      <c r="AJ95" s="23" t="e">
        <f t="shared" si="41"/>
        <v>#VALUE!</v>
      </c>
    </row>
    <row r="96" spans="1:36" x14ac:dyDescent="0.2">
      <c r="A96" s="6"/>
      <c r="B96" s="6"/>
      <c r="C96" s="6"/>
      <c r="D96" s="6"/>
      <c r="E96" s="11"/>
      <c r="F96" s="11"/>
      <c r="G96" s="11"/>
      <c r="H96" s="11"/>
      <c r="I96" s="10" t="str">
        <f t="shared" si="28"/>
        <v/>
      </c>
      <c r="J96" s="10" t="str">
        <f t="shared" si="29"/>
        <v/>
      </c>
      <c r="K96" s="14" t="str">
        <f t="shared" si="30"/>
        <v/>
      </c>
      <c r="L96" s="10" t="str">
        <f>IF(C96="BC",'Mix Design'!$B$9,IF(C96="DBM",'Mix Design'!$C$9,""))</f>
        <v/>
      </c>
      <c r="M96" s="10" t="str">
        <f>IF(C96="BC",Inputs!$C$17,IF(C96="DBM",Inputs!$C$18,""))</f>
        <v/>
      </c>
      <c r="N96" s="10" t="e">
        <f t="shared" si="31"/>
        <v>#VALUE!</v>
      </c>
      <c r="O96" s="10" t="e">
        <f t="shared" si="32"/>
        <v>#VALUE!</v>
      </c>
      <c r="P96" s="10" t="e">
        <f t="shared" si="33"/>
        <v>#VALUE!</v>
      </c>
      <c r="Q96" s="23" t="e">
        <f>IF(AND(P96&gt;0,Inputs!$C$6&gt;0),P96/Inputs!$C$6*Inputs!$C$7,"")</f>
        <v>#VALUE!</v>
      </c>
      <c r="R96" s="23" t="str">
        <f>IF(C96="BC",'Rate Model'!$C$19,IF(C96="DBM",'Rate Model'!$E$19,""))</f>
        <v/>
      </c>
      <c r="S96" s="11" t="e">
        <f t="shared" si="34"/>
        <v>#VALUE!</v>
      </c>
      <c r="T96" s="11" t="str">
        <f>IF(A96&lt;&gt;"",Inputs!$C$47,"")</f>
        <v/>
      </c>
      <c r="U96" s="11" t="str">
        <f>IF(A96&lt;&gt;"",Inputs!$C$48,"")</f>
        <v/>
      </c>
      <c r="V96" s="11">
        <v>2</v>
      </c>
      <c r="W96" s="11" t="str">
        <f>IF(A96&lt;&gt;"",Inputs!$C$49,"")</f>
        <v/>
      </c>
      <c r="X96" s="23">
        <v>0</v>
      </c>
      <c r="Y96" s="23" t="e">
        <f t="shared" si="35"/>
        <v>#VALUE!</v>
      </c>
      <c r="Z96" s="23" t="e">
        <f t="shared" si="36"/>
        <v>#VALUE!</v>
      </c>
      <c r="AA96" s="5" t="str">
        <f>IF(A96&lt;&gt;"",Inputs!$C$57,"")</f>
        <v/>
      </c>
      <c r="AB96" s="6" t="e">
        <f t="shared" si="37"/>
        <v>#VALUE!</v>
      </c>
      <c r="AC96" s="6"/>
      <c r="AD96" s="23"/>
      <c r="AE96" s="23">
        <f>IF(AND(J96&gt;0,AC96&gt;0),J96*AC96*Inputs!$C$71,0)</f>
        <v>0</v>
      </c>
      <c r="AF96" s="23">
        <f>IF(AND(J96&gt;0,AD96&gt;0),J96*AD96*Inputs!$C$72,0)</f>
        <v>0</v>
      </c>
      <c r="AG96" s="23" t="e">
        <f t="shared" si="38"/>
        <v>#VALUE!</v>
      </c>
      <c r="AH96" s="23" t="e">
        <f t="shared" si="39"/>
        <v>#VALUE!</v>
      </c>
      <c r="AI96" s="23" t="e">
        <f t="shared" si="40"/>
        <v>#VALUE!</v>
      </c>
      <c r="AJ96" s="23" t="e">
        <f t="shared" si="41"/>
        <v>#VALUE!</v>
      </c>
    </row>
    <row r="97" spans="1:36" x14ac:dyDescent="0.2">
      <c r="A97" s="6"/>
      <c r="B97" s="6"/>
      <c r="C97" s="6"/>
      <c r="D97" s="6"/>
      <c r="E97" s="11"/>
      <c r="F97" s="11"/>
      <c r="G97" s="11"/>
      <c r="H97" s="11"/>
      <c r="I97" s="10" t="str">
        <f t="shared" si="28"/>
        <v/>
      </c>
      <c r="J97" s="10" t="str">
        <f t="shared" si="29"/>
        <v/>
      </c>
      <c r="K97" s="14" t="str">
        <f t="shared" si="30"/>
        <v/>
      </c>
      <c r="L97" s="10" t="str">
        <f>IF(C97="BC",'Mix Design'!$B$9,IF(C97="DBM",'Mix Design'!$C$9,""))</f>
        <v/>
      </c>
      <c r="M97" s="10" t="str">
        <f>IF(C97="BC",Inputs!$C$17,IF(C97="DBM",Inputs!$C$18,""))</f>
        <v/>
      </c>
      <c r="N97" s="10" t="e">
        <f t="shared" si="31"/>
        <v>#VALUE!</v>
      </c>
      <c r="O97" s="10" t="e">
        <f t="shared" si="32"/>
        <v>#VALUE!</v>
      </c>
      <c r="P97" s="10" t="e">
        <f t="shared" si="33"/>
        <v>#VALUE!</v>
      </c>
      <c r="Q97" s="23" t="e">
        <f>IF(AND(P97&gt;0,Inputs!$C$6&gt;0),P97/Inputs!$C$6*Inputs!$C$7,"")</f>
        <v>#VALUE!</v>
      </c>
      <c r="R97" s="23" t="str">
        <f>IF(C97="BC",'Rate Model'!$C$19,IF(C97="DBM",'Rate Model'!$E$19,""))</f>
        <v/>
      </c>
      <c r="S97" s="11" t="e">
        <f t="shared" si="34"/>
        <v>#VALUE!</v>
      </c>
      <c r="T97" s="11" t="str">
        <f>IF(A97&lt;&gt;"",Inputs!$C$47,"")</f>
        <v/>
      </c>
      <c r="U97" s="11" t="str">
        <f>IF(A97&lt;&gt;"",Inputs!$C$48,"")</f>
        <v/>
      </c>
      <c r="V97" s="11">
        <v>2</v>
      </c>
      <c r="W97" s="11" t="str">
        <f>IF(A97&lt;&gt;"",Inputs!$C$49,"")</f>
        <v/>
      </c>
      <c r="X97" s="23">
        <v>0</v>
      </c>
      <c r="Y97" s="23" t="e">
        <f t="shared" si="35"/>
        <v>#VALUE!</v>
      </c>
      <c r="Z97" s="23" t="e">
        <f t="shared" si="36"/>
        <v>#VALUE!</v>
      </c>
      <c r="AA97" s="5" t="str">
        <f>IF(A97&lt;&gt;"",Inputs!$C$57,"")</f>
        <v/>
      </c>
      <c r="AB97" s="6" t="e">
        <f t="shared" si="37"/>
        <v>#VALUE!</v>
      </c>
      <c r="AC97" s="6"/>
      <c r="AD97" s="23"/>
      <c r="AE97" s="23">
        <f>IF(AND(J97&gt;0,AC97&gt;0),J97*AC97*Inputs!$C$71,0)</f>
        <v>0</v>
      </c>
      <c r="AF97" s="23">
        <f>IF(AND(J97&gt;0,AD97&gt;0),J97*AD97*Inputs!$C$72,0)</f>
        <v>0</v>
      </c>
      <c r="AG97" s="23" t="e">
        <f t="shared" si="38"/>
        <v>#VALUE!</v>
      </c>
      <c r="AH97" s="23" t="e">
        <f t="shared" si="39"/>
        <v>#VALUE!</v>
      </c>
      <c r="AI97" s="23" t="e">
        <f t="shared" si="40"/>
        <v>#VALUE!</v>
      </c>
      <c r="AJ97" s="23" t="e">
        <f t="shared" si="41"/>
        <v>#VALUE!</v>
      </c>
    </row>
    <row r="98" spans="1:36" x14ac:dyDescent="0.2">
      <c r="A98" s="6"/>
      <c r="B98" s="6"/>
      <c r="C98" s="6"/>
      <c r="D98" s="6"/>
      <c r="E98" s="11"/>
      <c r="F98" s="11"/>
      <c r="G98" s="11"/>
      <c r="H98" s="11"/>
      <c r="I98" s="10" t="str">
        <f t="shared" si="28"/>
        <v/>
      </c>
      <c r="J98" s="10" t="str">
        <f t="shared" si="29"/>
        <v/>
      </c>
      <c r="K98" s="14" t="str">
        <f t="shared" si="30"/>
        <v/>
      </c>
      <c r="L98" s="10" t="str">
        <f>IF(C98="BC",'Mix Design'!$B$9,IF(C98="DBM",'Mix Design'!$C$9,""))</f>
        <v/>
      </c>
      <c r="M98" s="10" t="str">
        <f>IF(C98="BC",Inputs!$C$17,IF(C98="DBM",Inputs!$C$18,""))</f>
        <v/>
      </c>
      <c r="N98" s="10" t="e">
        <f t="shared" si="31"/>
        <v>#VALUE!</v>
      </c>
      <c r="O98" s="10" t="e">
        <f t="shared" si="32"/>
        <v>#VALUE!</v>
      </c>
      <c r="P98" s="10" t="e">
        <f t="shared" si="33"/>
        <v>#VALUE!</v>
      </c>
      <c r="Q98" s="23" t="e">
        <f>IF(AND(P98&gt;0,Inputs!$C$6&gt;0),P98/Inputs!$C$6*Inputs!$C$7,"")</f>
        <v>#VALUE!</v>
      </c>
      <c r="R98" s="23" t="str">
        <f>IF(C98="BC",'Rate Model'!$C$19,IF(C98="DBM",'Rate Model'!$E$19,""))</f>
        <v/>
      </c>
      <c r="S98" s="11" t="e">
        <f t="shared" si="34"/>
        <v>#VALUE!</v>
      </c>
      <c r="T98" s="11" t="str">
        <f>IF(A98&lt;&gt;"",Inputs!$C$47,"")</f>
        <v/>
      </c>
      <c r="U98" s="11" t="str">
        <f>IF(A98&lt;&gt;"",Inputs!$C$48,"")</f>
        <v/>
      </c>
      <c r="V98" s="11">
        <v>2</v>
      </c>
      <c r="W98" s="11" t="str">
        <f>IF(A98&lt;&gt;"",Inputs!$C$49,"")</f>
        <v/>
      </c>
      <c r="X98" s="23">
        <v>0</v>
      </c>
      <c r="Y98" s="23" t="e">
        <f t="shared" si="35"/>
        <v>#VALUE!</v>
      </c>
      <c r="Z98" s="23" t="e">
        <f t="shared" si="36"/>
        <v>#VALUE!</v>
      </c>
      <c r="AA98" s="5" t="str">
        <f>IF(A98&lt;&gt;"",Inputs!$C$57,"")</f>
        <v/>
      </c>
      <c r="AB98" s="6" t="e">
        <f t="shared" si="37"/>
        <v>#VALUE!</v>
      </c>
      <c r="AC98" s="6"/>
      <c r="AD98" s="23"/>
      <c r="AE98" s="23">
        <f>IF(AND(J98&gt;0,AC98&gt;0),J98*AC98*Inputs!$C$71,0)</f>
        <v>0</v>
      </c>
      <c r="AF98" s="23">
        <f>IF(AND(J98&gt;0,AD98&gt;0),J98*AD98*Inputs!$C$72,0)</f>
        <v>0</v>
      </c>
      <c r="AG98" s="23" t="e">
        <f t="shared" si="38"/>
        <v>#VALUE!</v>
      </c>
      <c r="AH98" s="23" t="e">
        <f t="shared" si="39"/>
        <v>#VALUE!</v>
      </c>
      <c r="AI98" s="23" t="e">
        <f t="shared" si="40"/>
        <v>#VALUE!</v>
      </c>
      <c r="AJ98" s="23" t="e">
        <f t="shared" si="41"/>
        <v>#VALUE!</v>
      </c>
    </row>
    <row r="99" spans="1:36" x14ac:dyDescent="0.2">
      <c r="A99" s="6"/>
      <c r="B99" s="6"/>
      <c r="C99" s="6"/>
      <c r="D99" s="6"/>
      <c r="E99" s="11"/>
      <c r="F99" s="11"/>
      <c r="G99" s="11"/>
      <c r="H99" s="11"/>
      <c r="I99" s="10" t="str">
        <f t="shared" si="28"/>
        <v/>
      </c>
      <c r="J99" s="10" t="str">
        <f t="shared" si="29"/>
        <v/>
      </c>
      <c r="K99" s="14" t="str">
        <f t="shared" si="30"/>
        <v/>
      </c>
      <c r="L99" s="10" t="str">
        <f>IF(C99="BC",'Mix Design'!$B$9,IF(C99="DBM",'Mix Design'!$C$9,""))</f>
        <v/>
      </c>
      <c r="M99" s="10" t="str">
        <f>IF(C99="BC",Inputs!$C$17,IF(C99="DBM",Inputs!$C$18,""))</f>
        <v/>
      </c>
      <c r="N99" s="10" t="e">
        <f t="shared" si="31"/>
        <v>#VALUE!</v>
      </c>
      <c r="O99" s="10" t="e">
        <f t="shared" si="32"/>
        <v>#VALUE!</v>
      </c>
      <c r="P99" s="10" t="e">
        <f t="shared" si="33"/>
        <v>#VALUE!</v>
      </c>
      <c r="Q99" s="23" t="e">
        <f>IF(AND(P99&gt;0,Inputs!$C$6&gt;0),P99/Inputs!$C$6*Inputs!$C$7,"")</f>
        <v>#VALUE!</v>
      </c>
      <c r="R99" s="23" t="str">
        <f>IF(C99="BC",'Rate Model'!$C$19,IF(C99="DBM",'Rate Model'!$E$19,""))</f>
        <v/>
      </c>
      <c r="S99" s="11" t="e">
        <f t="shared" si="34"/>
        <v>#VALUE!</v>
      </c>
      <c r="T99" s="11" t="str">
        <f>IF(A99&lt;&gt;"",Inputs!$C$47,"")</f>
        <v/>
      </c>
      <c r="U99" s="11" t="str">
        <f>IF(A99&lt;&gt;"",Inputs!$C$48,"")</f>
        <v/>
      </c>
      <c r="V99" s="11">
        <v>2</v>
      </c>
      <c r="W99" s="11" t="str">
        <f>IF(A99&lt;&gt;"",Inputs!$C$49,"")</f>
        <v/>
      </c>
      <c r="X99" s="23">
        <v>0</v>
      </c>
      <c r="Y99" s="23" t="e">
        <f t="shared" si="35"/>
        <v>#VALUE!</v>
      </c>
      <c r="Z99" s="23" t="e">
        <f t="shared" si="36"/>
        <v>#VALUE!</v>
      </c>
      <c r="AA99" s="5" t="str">
        <f>IF(A99&lt;&gt;"",Inputs!$C$57,"")</f>
        <v/>
      </c>
      <c r="AB99" s="6" t="e">
        <f t="shared" si="37"/>
        <v>#VALUE!</v>
      </c>
      <c r="AC99" s="6"/>
      <c r="AD99" s="23"/>
      <c r="AE99" s="23">
        <f>IF(AND(J99&gt;0,AC99&gt;0),J99*AC99*Inputs!$C$71,0)</f>
        <v>0</v>
      </c>
      <c r="AF99" s="23">
        <f>IF(AND(J99&gt;0,AD99&gt;0),J99*AD99*Inputs!$C$72,0)</f>
        <v>0</v>
      </c>
      <c r="AG99" s="23" t="e">
        <f t="shared" si="38"/>
        <v>#VALUE!</v>
      </c>
      <c r="AH99" s="23" t="e">
        <f t="shared" si="39"/>
        <v>#VALUE!</v>
      </c>
      <c r="AI99" s="23" t="e">
        <f t="shared" si="40"/>
        <v>#VALUE!</v>
      </c>
      <c r="AJ99" s="23" t="e">
        <f t="shared" si="41"/>
        <v>#VALUE!</v>
      </c>
    </row>
    <row r="100" spans="1:36" x14ac:dyDescent="0.2">
      <c r="A100" s="6"/>
      <c r="B100" s="6"/>
      <c r="C100" s="6"/>
      <c r="D100" s="6"/>
      <c r="E100" s="11"/>
      <c r="F100" s="11"/>
      <c r="G100" s="11"/>
      <c r="H100" s="11"/>
      <c r="I100" s="10" t="str">
        <f t="shared" ref="I100:I131" si="42">IF(D100="GEOMETRY",IF(AND(E100&gt;0,F100&gt;0,G100&gt;0),E100*F100*(G100/1000),""),IF(AND(H100&gt;0,G100&gt;0),H100,""))</f>
        <v/>
      </c>
      <c r="J100" s="10" t="str">
        <f t="shared" ref="J100:J131" si="43">IF(AND(I100&gt;0,G100&gt;0),I100/(G100/1000),"")</f>
        <v/>
      </c>
      <c r="K100" s="14" t="str">
        <f t="shared" ref="K100:K131" si="44">IF(AND(J100&gt;0,F100&gt;0),J100/F100,"")</f>
        <v/>
      </c>
      <c r="L100" s="10" t="str">
        <f>IF(C100="BC",'Mix Design'!$B$9,IF(C100="DBM",'Mix Design'!$C$9,""))</f>
        <v/>
      </c>
      <c r="M100" s="10" t="str">
        <f>IF(C100="BC",Inputs!$C$17,IF(C100="DBM",Inputs!$C$18,""))</f>
        <v/>
      </c>
      <c r="N100" s="10" t="e">
        <f t="shared" ref="N100:N131" si="45">IF(AND(I100&gt;0,M100&gt;0),I100*M100,"")</f>
        <v>#VALUE!</v>
      </c>
      <c r="O100" s="10" t="e">
        <f t="shared" ref="O100:O131" si="46">IF(AND(N100&gt;0,L100&gt;0),N100*L100,"")</f>
        <v>#VALUE!</v>
      </c>
      <c r="P100" s="10" t="e">
        <f t="shared" ref="P100:P131" si="47">IF(AND(N100&gt;0,O100&gt;0),N100-O100,"")</f>
        <v>#VALUE!</v>
      </c>
      <c r="Q100" s="23" t="e">
        <f>IF(AND(P100&gt;0,Inputs!$C$6&gt;0),P100/Inputs!$C$6*Inputs!$C$7,"")</f>
        <v>#VALUE!</v>
      </c>
      <c r="R100" s="23" t="str">
        <f>IF(C100="BC",'Rate Model'!$C$19,IF(C100="DBM",'Rate Model'!$E$19,""))</f>
        <v/>
      </c>
      <c r="S100" s="11" t="e">
        <f t="shared" ref="S100:S131" si="48">IF(AND(N100&gt;0,R100&gt;0),N100*R100,"")</f>
        <v>#VALUE!</v>
      </c>
      <c r="T100" s="11" t="str">
        <f>IF(A100&lt;&gt;"",Inputs!$C$47,"")</f>
        <v/>
      </c>
      <c r="U100" s="11" t="str">
        <f>IF(A100&lt;&gt;"",Inputs!$C$48,"")</f>
        <v/>
      </c>
      <c r="V100" s="11">
        <v>2</v>
      </c>
      <c r="W100" s="11" t="str">
        <f>IF(A100&lt;&gt;"",Inputs!$C$49,"")</f>
        <v/>
      </c>
      <c r="X100" s="23">
        <v>0</v>
      </c>
      <c r="Y100" s="23" t="e">
        <f t="shared" ref="Y100:Y131" si="49">IF(AND(T100&gt;0,U100&gt;0,V100&gt;0,W100&gt;0),((T100*U100*V100)+X100)/W100,"")</f>
        <v>#VALUE!</v>
      </c>
      <c r="Z100" s="23" t="e">
        <f t="shared" ref="Z100:Z131" si="50">IF(AND(N100&gt;0,Y100&gt;0),N100*Y100,"")</f>
        <v>#VALUE!</v>
      </c>
      <c r="AA100" s="5" t="str">
        <f>IF(A100&lt;&gt;"",Inputs!$C$57,"")</f>
        <v/>
      </c>
      <c r="AB100" s="6" t="e">
        <f t="shared" ref="AB100:AB131" si="51">IF(AND(N100&gt;0,AA100&gt;0),N100*AA100,"")</f>
        <v>#VALUE!</v>
      </c>
      <c r="AC100" s="6"/>
      <c r="AD100" s="23"/>
      <c r="AE100" s="23">
        <f>IF(AND(J100&gt;0,AC100&gt;0),J100*AC100*Inputs!$C$71,0)</f>
        <v>0</v>
      </c>
      <c r="AF100" s="23">
        <f>IF(AND(J100&gt;0,AD100&gt;0),J100*AD100*Inputs!$C$72,0)</f>
        <v>0</v>
      </c>
      <c r="AG100" s="23" t="e">
        <f t="shared" ref="AG100:AG131" si="52">SUM(S100,Z100,AB100,AE100,AF100)</f>
        <v>#VALUE!</v>
      </c>
      <c r="AH100" s="23" t="e">
        <f t="shared" ref="AH100:AH131" si="53">IF(AND(N100&gt;0,AG100&gt;0),AG100/N100,"")</f>
        <v>#VALUE!</v>
      </c>
      <c r="AI100" s="23" t="e">
        <f t="shared" ref="AI100:AI131" si="54">IF(AND(I100&gt;0,AG100&gt;0),AG100/I100,"")</f>
        <v>#VALUE!</v>
      </c>
      <c r="AJ100" s="23" t="e">
        <f t="shared" ref="AJ100:AJ131" si="55">IF(AND(J100&gt;0,AG100&gt;0),AG100/J100,"")</f>
        <v>#VALUE!</v>
      </c>
    </row>
    <row r="101" spans="1:36" x14ac:dyDescent="0.2">
      <c r="A101" s="6"/>
      <c r="B101" s="6"/>
      <c r="C101" s="6"/>
      <c r="D101" s="6"/>
      <c r="E101" s="11"/>
      <c r="F101" s="11"/>
      <c r="G101" s="11"/>
      <c r="H101" s="11"/>
      <c r="I101" s="10" t="str">
        <f t="shared" si="42"/>
        <v/>
      </c>
      <c r="J101" s="10" t="str">
        <f t="shared" si="43"/>
        <v/>
      </c>
      <c r="K101" s="14" t="str">
        <f t="shared" si="44"/>
        <v/>
      </c>
      <c r="L101" s="10" t="str">
        <f>IF(C101="BC",'Mix Design'!$B$9,IF(C101="DBM",'Mix Design'!$C$9,""))</f>
        <v/>
      </c>
      <c r="M101" s="10" t="str">
        <f>IF(C101="BC",Inputs!$C$17,IF(C101="DBM",Inputs!$C$18,""))</f>
        <v/>
      </c>
      <c r="N101" s="10" t="e">
        <f t="shared" si="45"/>
        <v>#VALUE!</v>
      </c>
      <c r="O101" s="10" t="e">
        <f t="shared" si="46"/>
        <v>#VALUE!</v>
      </c>
      <c r="P101" s="10" t="e">
        <f t="shared" si="47"/>
        <v>#VALUE!</v>
      </c>
      <c r="Q101" s="23" t="e">
        <f>IF(AND(P101&gt;0,Inputs!$C$6&gt;0),P101/Inputs!$C$6*Inputs!$C$7,"")</f>
        <v>#VALUE!</v>
      </c>
      <c r="R101" s="23" t="str">
        <f>IF(C101="BC",'Rate Model'!$C$19,IF(C101="DBM",'Rate Model'!$E$19,""))</f>
        <v/>
      </c>
      <c r="S101" s="11" t="e">
        <f t="shared" si="48"/>
        <v>#VALUE!</v>
      </c>
      <c r="T101" s="11" t="str">
        <f>IF(A101&lt;&gt;"",Inputs!$C$47,"")</f>
        <v/>
      </c>
      <c r="U101" s="11" t="str">
        <f>IF(A101&lt;&gt;"",Inputs!$C$48,"")</f>
        <v/>
      </c>
      <c r="V101" s="11">
        <v>2</v>
      </c>
      <c r="W101" s="11" t="str">
        <f>IF(A101&lt;&gt;"",Inputs!$C$49,"")</f>
        <v/>
      </c>
      <c r="X101" s="23">
        <v>0</v>
      </c>
      <c r="Y101" s="23" t="e">
        <f t="shared" si="49"/>
        <v>#VALUE!</v>
      </c>
      <c r="Z101" s="23" t="e">
        <f t="shared" si="50"/>
        <v>#VALUE!</v>
      </c>
      <c r="AA101" s="5" t="str">
        <f>IF(A101&lt;&gt;"",Inputs!$C$57,"")</f>
        <v/>
      </c>
      <c r="AB101" s="6" t="e">
        <f t="shared" si="51"/>
        <v>#VALUE!</v>
      </c>
      <c r="AC101" s="6"/>
      <c r="AD101" s="23"/>
      <c r="AE101" s="23">
        <f>IF(AND(J101&gt;0,AC101&gt;0),J101*AC101*Inputs!$C$71,0)</f>
        <v>0</v>
      </c>
      <c r="AF101" s="23">
        <f>IF(AND(J101&gt;0,AD101&gt;0),J101*AD101*Inputs!$C$72,0)</f>
        <v>0</v>
      </c>
      <c r="AG101" s="23" t="e">
        <f t="shared" si="52"/>
        <v>#VALUE!</v>
      </c>
      <c r="AH101" s="23" t="e">
        <f t="shared" si="53"/>
        <v>#VALUE!</v>
      </c>
      <c r="AI101" s="23" t="e">
        <f t="shared" si="54"/>
        <v>#VALUE!</v>
      </c>
      <c r="AJ101" s="23" t="e">
        <f t="shared" si="55"/>
        <v>#VALUE!</v>
      </c>
    </row>
    <row r="102" spans="1:36" x14ac:dyDescent="0.2">
      <c r="A102" s="6"/>
      <c r="B102" s="6"/>
      <c r="C102" s="6"/>
      <c r="D102" s="6"/>
      <c r="E102" s="11"/>
      <c r="F102" s="11"/>
      <c r="G102" s="11"/>
      <c r="H102" s="11"/>
      <c r="I102" s="10" t="str">
        <f t="shared" si="42"/>
        <v/>
      </c>
      <c r="J102" s="10" t="str">
        <f t="shared" si="43"/>
        <v/>
      </c>
      <c r="K102" s="14" t="str">
        <f t="shared" si="44"/>
        <v/>
      </c>
      <c r="L102" s="10" t="str">
        <f>IF(C102="BC",'Mix Design'!$B$9,IF(C102="DBM",'Mix Design'!$C$9,""))</f>
        <v/>
      </c>
      <c r="M102" s="10" t="str">
        <f>IF(C102="BC",Inputs!$C$17,IF(C102="DBM",Inputs!$C$18,""))</f>
        <v/>
      </c>
      <c r="N102" s="10" t="e">
        <f t="shared" si="45"/>
        <v>#VALUE!</v>
      </c>
      <c r="O102" s="10" t="e">
        <f t="shared" si="46"/>
        <v>#VALUE!</v>
      </c>
      <c r="P102" s="10" t="e">
        <f t="shared" si="47"/>
        <v>#VALUE!</v>
      </c>
      <c r="Q102" s="23" t="e">
        <f>IF(AND(P102&gt;0,Inputs!$C$6&gt;0),P102/Inputs!$C$6*Inputs!$C$7,"")</f>
        <v>#VALUE!</v>
      </c>
      <c r="R102" s="23" t="str">
        <f>IF(C102="BC",'Rate Model'!$C$19,IF(C102="DBM",'Rate Model'!$E$19,""))</f>
        <v/>
      </c>
      <c r="S102" s="11" t="e">
        <f t="shared" si="48"/>
        <v>#VALUE!</v>
      </c>
      <c r="T102" s="11" t="str">
        <f>IF(A102&lt;&gt;"",Inputs!$C$47,"")</f>
        <v/>
      </c>
      <c r="U102" s="11" t="str">
        <f>IF(A102&lt;&gt;"",Inputs!$C$48,"")</f>
        <v/>
      </c>
      <c r="V102" s="11">
        <v>2</v>
      </c>
      <c r="W102" s="11" t="str">
        <f>IF(A102&lt;&gt;"",Inputs!$C$49,"")</f>
        <v/>
      </c>
      <c r="X102" s="23">
        <v>0</v>
      </c>
      <c r="Y102" s="23" t="e">
        <f t="shared" si="49"/>
        <v>#VALUE!</v>
      </c>
      <c r="Z102" s="23" t="e">
        <f t="shared" si="50"/>
        <v>#VALUE!</v>
      </c>
      <c r="AA102" s="5" t="str">
        <f>IF(A102&lt;&gt;"",Inputs!$C$57,"")</f>
        <v/>
      </c>
      <c r="AB102" s="6" t="e">
        <f t="shared" si="51"/>
        <v>#VALUE!</v>
      </c>
      <c r="AC102" s="6"/>
      <c r="AD102" s="23"/>
      <c r="AE102" s="23">
        <f>IF(AND(J102&gt;0,AC102&gt;0),J102*AC102*Inputs!$C$71,0)</f>
        <v>0</v>
      </c>
      <c r="AF102" s="23">
        <f>IF(AND(J102&gt;0,AD102&gt;0),J102*AD102*Inputs!$C$72,0)</f>
        <v>0</v>
      </c>
      <c r="AG102" s="23" t="e">
        <f t="shared" si="52"/>
        <v>#VALUE!</v>
      </c>
      <c r="AH102" s="23" t="e">
        <f t="shared" si="53"/>
        <v>#VALUE!</v>
      </c>
      <c r="AI102" s="23" t="e">
        <f t="shared" si="54"/>
        <v>#VALUE!</v>
      </c>
      <c r="AJ102" s="23" t="e">
        <f t="shared" si="55"/>
        <v>#VALUE!</v>
      </c>
    </row>
    <row r="103" spans="1:36" x14ac:dyDescent="0.2">
      <c r="A103" s="6"/>
      <c r="B103" s="6"/>
      <c r="C103" s="6"/>
      <c r="D103" s="6"/>
      <c r="E103" s="11"/>
      <c r="F103" s="11"/>
      <c r="G103" s="11"/>
      <c r="H103" s="11"/>
      <c r="I103" s="10" t="str">
        <f t="shared" si="42"/>
        <v/>
      </c>
      <c r="J103" s="10" t="str">
        <f t="shared" si="43"/>
        <v/>
      </c>
      <c r="K103" s="14" t="str">
        <f t="shared" si="44"/>
        <v/>
      </c>
      <c r="L103" s="10" t="str">
        <f>IF(C103="BC",'Mix Design'!$B$9,IF(C103="DBM",'Mix Design'!$C$9,""))</f>
        <v/>
      </c>
      <c r="M103" s="10" t="str">
        <f>IF(C103="BC",Inputs!$C$17,IF(C103="DBM",Inputs!$C$18,""))</f>
        <v/>
      </c>
      <c r="N103" s="10" t="e">
        <f t="shared" si="45"/>
        <v>#VALUE!</v>
      </c>
      <c r="O103" s="10" t="e">
        <f t="shared" si="46"/>
        <v>#VALUE!</v>
      </c>
      <c r="P103" s="10" t="e">
        <f t="shared" si="47"/>
        <v>#VALUE!</v>
      </c>
      <c r="Q103" s="23" t="e">
        <f>IF(AND(P103&gt;0,Inputs!$C$6&gt;0),P103/Inputs!$C$6*Inputs!$C$7,"")</f>
        <v>#VALUE!</v>
      </c>
      <c r="R103" s="23" t="str">
        <f>IF(C103="BC",'Rate Model'!$C$19,IF(C103="DBM",'Rate Model'!$E$19,""))</f>
        <v/>
      </c>
      <c r="S103" s="11" t="e">
        <f t="shared" si="48"/>
        <v>#VALUE!</v>
      </c>
      <c r="T103" s="11" t="str">
        <f>IF(A103&lt;&gt;"",Inputs!$C$47,"")</f>
        <v/>
      </c>
      <c r="U103" s="11" t="str">
        <f>IF(A103&lt;&gt;"",Inputs!$C$48,"")</f>
        <v/>
      </c>
      <c r="V103" s="11">
        <v>2</v>
      </c>
      <c r="W103" s="11" t="str">
        <f>IF(A103&lt;&gt;"",Inputs!$C$49,"")</f>
        <v/>
      </c>
      <c r="X103" s="23">
        <v>0</v>
      </c>
      <c r="Y103" s="23" t="e">
        <f t="shared" si="49"/>
        <v>#VALUE!</v>
      </c>
      <c r="Z103" s="23" t="e">
        <f t="shared" si="50"/>
        <v>#VALUE!</v>
      </c>
      <c r="AA103" s="5" t="str">
        <f>IF(A103&lt;&gt;"",Inputs!$C$57,"")</f>
        <v/>
      </c>
      <c r="AB103" s="6" t="e">
        <f t="shared" si="51"/>
        <v>#VALUE!</v>
      </c>
      <c r="AC103" s="6"/>
      <c r="AD103" s="23"/>
      <c r="AE103" s="23">
        <f>IF(AND(J103&gt;0,AC103&gt;0),J103*AC103*Inputs!$C$71,0)</f>
        <v>0</v>
      </c>
      <c r="AF103" s="23">
        <f>IF(AND(J103&gt;0,AD103&gt;0),J103*AD103*Inputs!$C$72,0)</f>
        <v>0</v>
      </c>
      <c r="AG103" s="23" t="e">
        <f t="shared" si="52"/>
        <v>#VALUE!</v>
      </c>
      <c r="AH103" s="23" t="e">
        <f t="shared" si="53"/>
        <v>#VALUE!</v>
      </c>
      <c r="AI103" s="23" t="e">
        <f t="shared" si="54"/>
        <v>#VALUE!</v>
      </c>
      <c r="AJ103" s="23" t="e">
        <f t="shared" si="55"/>
        <v>#VALUE!</v>
      </c>
    </row>
    <row r="104" spans="1:36" x14ac:dyDescent="0.2">
      <c r="A104" s="6"/>
      <c r="B104" s="6"/>
      <c r="C104" s="6"/>
      <c r="D104" s="6"/>
      <c r="E104" s="11"/>
      <c r="F104" s="11"/>
      <c r="G104" s="11"/>
      <c r="H104" s="11"/>
      <c r="I104" s="10" t="str">
        <f t="shared" si="42"/>
        <v/>
      </c>
      <c r="J104" s="10" t="str">
        <f t="shared" si="43"/>
        <v/>
      </c>
      <c r="K104" s="14" t="str">
        <f t="shared" si="44"/>
        <v/>
      </c>
      <c r="L104" s="10" t="str">
        <f>IF(C104="BC",'Mix Design'!$B$9,IF(C104="DBM",'Mix Design'!$C$9,""))</f>
        <v/>
      </c>
      <c r="M104" s="10" t="str">
        <f>IF(C104="BC",Inputs!$C$17,IF(C104="DBM",Inputs!$C$18,""))</f>
        <v/>
      </c>
      <c r="N104" s="10" t="e">
        <f t="shared" si="45"/>
        <v>#VALUE!</v>
      </c>
      <c r="O104" s="10" t="e">
        <f t="shared" si="46"/>
        <v>#VALUE!</v>
      </c>
      <c r="P104" s="10" t="e">
        <f t="shared" si="47"/>
        <v>#VALUE!</v>
      </c>
      <c r="Q104" s="23" t="e">
        <f>IF(AND(P104&gt;0,Inputs!$C$6&gt;0),P104/Inputs!$C$6*Inputs!$C$7,"")</f>
        <v>#VALUE!</v>
      </c>
      <c r="R104" s="23" t="str">
        <f>IF(C104="BC",'Rate Model'!$C$19,IF(C104="DBM",'Rate Model'!$E$19,""))</f>
        <v/>
      </c>
      <c r="S104" s="11" t="e">
        <f t="shared" si="48"/>
        <v>#VALUE!</v>
      </c>
      <c r="T104" s="11" t="str">
        <f>IF(A104&lt;&gt;"",Inputs!$C$47,"")</f>
        <v/>
      </c>
      <c r="U104" s="11" t="str">
        <f>IF(A104&lt;&gt;"",Inputs!$C$48,"")</f>
        <v/>
      </c>
      <c r="V104" s="11">
        <v>2</v>
      </c>
      <c r="W104" s="11" t="str">
        <f>IF(A104&lt;&gt;"",Inputs!$C$49,"")</f>
        <v/>
      </c>
      <c r="X104" s="23">
        <v>0</v>
      </c>
      <c r="Y104" s="23" t="e">
        <f t="shared" si="49"/>
        <v>#VALUE!</v>
      </c>
      <c r="Z104" s="23" t="e">
        <f t="shared" si="50"/>
        <v>#VALUE!</v>
      </c>
      <c r="AA104" s="5" t="str">
        <f>IF(A104&lt;&gt;"",Inputs!$C$57,"")</f>
        <v/>
      </c>
      <c r="AB104" s="6" t="e">
        <f t="shared" si="51"/>
        <v>#VALUE!</v>
      </c>
      <c r="AC104" s="6"/>
      <c r="AD104" s="23"/>
      <c r="AE104" s="23">
        <f>IF(AND(J104&gt;0,AC104&gt;0),J104*AC104*Inputs!$C$71,0)</f>
        <v>0</v>
      </c>
      <c r="AF104" s="23">
        <f>IF(AND(J104&gt;0,AD104&gt;0),J104*AD104*Inputs!$C$72,0)</f>
        <v>0</v>
      </c>
      <c r="AG104" s="23" t="e">
        <f t="shared" si="52"/>
        <v>#VALUE!</v>
      </c>
      <c r="AH104" s="23" t="e">
        <f t="shared" si="53"/>
        <v>#VALUE!</v>
      </c>
      <c r="AI104" s="23" t="e">
        <f t="shared" si="54"/>
        <v>#VALUE!</v>
      </c>
      <c r="AJ104" s="23" t="e">
        <f t="shared" si="55"/>
        <v>#VALUE!</v>
      </c>
    </row>
    <row r="105" spans="1:36" x14ac:dyDescent="0.2">
      <c r="A105" s="6"/>
      <c r="B105" s="6"/>
      <c r="C105" s="6"/>
      <c r="D105" s="6"/>
      <c r="E105" s="11"/>
      <c r="F105" s="11"/>
      <c r="G105" s="11"/>
      <c r="H105" s="11"/>
      <c r="I105" s="10" t="str">
        <f t="shared" si="42"/>
        <v/>
      </c>
      <c r="J105" s="10" t="str">
        <f t="shared" si="43"/>
        <v/>
      </c>
      <c r="K105" s="14" t="str">
        <f t="shared" si="44"/>
        <v/>
      </c>
      <c r="L105" s="10" t="str">
        <f>IF(C105="BC",'Mix Design'!$B$9,IF(C105="DBM",'Mix Design'!$C$9,""))</f>
        <v/>
      </c>
      <c r="M105" s="10" t="str">
        <f>IF(C105="BC",Inputs!$C$17,IF(C105="DBM",Inputs!$C$18,""))</f>
        <v/>
      </c>
      <c r="N105" s="10" t="e">
        <f t="shared" si="45"/>
        <v>#VALUE!</v>
      </c>
      <c r="O105" s="10" t="e">
        <f t="shared" si="46"/>
        <v>#VALUE!</v>
      </c>
      <c r="P105" s="10" t="e">
        <f t="shared" si="47"/>
        <v>#VALUE!</v>
      </c>
      <c r="Q105" s="23" t="e">
        <f>IF(AND(P105&gt;0,Inputs!$C$6&gt;0),P105/Inputs!$C$6*Inputs!$C$7,"")</f>
        <v>#VALUE!</v>
      </c>
      <c r="R105" s="23" t="str">
        <f>IF(C105="BC",'Rate Model'!$C$19,IF(C105="DBM",'Rate Model'!$E$19,""))</f>
        <v/>
      </c>
      <c r="S105" s="11" t="e">
        <f t="shared" si="48"/>
        <v>#VALUE!</v>
      </c>
      <c r="T105" s="11" t="str">
        <f>IF(A105&lt;&gt;"",Inputs!$C$47,"")</f>
        <v/>
      </c>
      <c r="U105" s="11" t="str">
        <f>IF(A105&lt;&gt;"",Inputs!$C$48,"")</f>
        <v/>
      </c>
      <c r="V105" s="11">
        <v>2</v>
      </c>
      <c r="W105" s="11" t="str">
        <f>IF(A105&lt;&gt;"",Inputs!$C$49,"")</f>
        <v/>
      </c>
      <c r="X105" s="23">
        <v>0</v>
      </c>
      <c r="Y105" s="23" t="e">
        <f t="shared" si="49"/>
        <v>#VALUE!</v>
      </c>
      <c r="Z105" s="23" t="e">
        <f t="shared" si="50"/>
        <v>#VALUE!</v>
      </c>
      <c r="AA105" s="5" t="str">
        <f>IF(A105&lt;&gt;"",Inputs!$C$57,"")</f>
        <v/>
      </c>
      <c r="AB105" s="6" t="e">
        <f t="shared" si="51"/>
        <v>#VALUE!</v>
      </c>
      <c r="AC105" s="6"/>
      <c r="AD105" s="23"/>
      <c r="AE105" s="23">
        <f>IF(AND(J105&gt;0,AC105&gt;0),J105*AC105*Inputs!$C$71,0)</f>
        <v>0</v>
      </c>
      <c r="AF105" s="23">
        <f>IF(AND(J105&gt;0,AD105&gt;0),J105*AD105*Inputs!$C$72,0)</f>
        <v>0</v>
      </c>
      <c r="AG105" s="23" t="e">
        <f t="shared" si="52"/>
        <v>#VALUE!</v>
      </c>
      <c r="AH105" s="23" t="e">
        <f t="shared" si="53"/>
        <v>#VALUE!</v>
      </c>
      <c r="AI105" s="23" t="e">
        <f t="shared" si="54"/>
        <v>#VALUE!</v>
      </c>
      <c r="AJ105" s="23" t="e">
        <f t="shared" si="55"/>
        <v>#VALUE!</v>
      </c>
    </row>
    <row r="106" spans="1:36" x14ac:dyDescent="0.2">
      <c r="A106" s="6"/>
      <c r="B106" s="6"/>
      <c r="C106" s="6"/>
      <c r="D106" s="6"/>
      <c r="E106" s="11"/>
      <c r="F106" s="11"/>
      <c r="G106" s="11"/>
      <c r="H106" s="11"/>
      <c r="I106" s="10" t="str">
        <f t="shared" si="42"/>
        <v/>
      </c>
      <c r="J106" s="10" t="str">
        <f t="shared" si="43"/>
        <v/>
      </c>
      <c r="K106" s="14" t="str">
        <f t="shared" si="44"/>
        <v/>
      </c>
      <c r="L106" s="10" t="str">
        <f>IF(C106="BC",'Mix Design'!$B$9,IF(C106="DBM",'Mix Design'!$C$9,""))</f>
        <v/>
      </c>
      <c r="M106" s="10" t="str">
        <f>IF(C106="BC",Inputs!$C$17,IF(C106="DBM",Inputs!$C$18,""))</f>
        <v/>
      </c>
      <c r="N106" s="10" t="e">
        <f t="shared" si="45"/>
        <v>#VALUE!</v>
      </c>
      <c r="O106" s="10" t="e">
        <f t="shared" si="46"/>
        <v>#VALUE!</v>
      </c>
      <c r="P106" s="10" t="e">
        <f t="shared" si="47"/>
        <v>#VALUE!</v>
      </c>
      <c r="Q106" s="23" t="e">
        <f>IF(AND(P106&gt;0,Inputs!$C$6&gt;0),P106/Inputs!$C$6*Inputs!$C$7,"")</f>
        <v>#VALUE!</v>
      </c>
      <c r="R106" s="23" t="str">
        <f>IF(C106="BC",'Rate Model'!$C$19,IF(C106="DBM",'Rate Model'!$E$19,""))</f>
        <v/>
      </c>
      <c r="S106" s="11" t="e">
        <f t="shared" si="48"/>
        <v>#VALUE!</v>
      </c>
      <c r="T106" s="11" t="str">
        <f>IF(A106&lt;&gt;"",Inputs!$C$47,"")</f>
        <v/>
      </c>
      <c r="U106" s="11" t="str">
        <f>IF(A106&lt;&gt;"",Inputs!$C$48,"")</f>
        <v/>
      </c>
      <c r="V106" s="11">
        <v>2</v>
      </c>
      <c r="W106" s="11" t="str">
        <f>IF(A106&lt;&gt;"",Inputs!$C$49,"")</f>
        <v/>
      </c>
      <c r="X106" s="23">
        <v>0</v>
      </c>
      <c r="Y106" s="23" t="e">
        <f t="shared" si="49"/>
        <v>#VALUE!</v>
      </c>
      <c r="Z106" s="23" t="e">
        <f t="shared" si="50"/>
        <v>#VALUE!</v>
      </c>
      <c r="AA106" s="5" t="str">
        <f>IF(A106&lt;&gt;"",Inputs!$C$57,"")</f>
        <v/>
      </c>
      <c r="AB106" s="6" t="e">
        <f t="shared" si="51"/>
        <v>#VALUE!</v>
      </c>
      <c r="AC106" s="6"/>
      <c r="AD106" s="23"/>
      <c r="AE106" s="23">
        <f>IF(AND(J106&gt;0,AC106&gt;0),J106*AC106*Inputs!$C$71,0)</f>
        <v>0</v>
      </c>
      <c r="AF106" s="23">
        <f>IF(AND(J106&gt;0,AD106&gt;0),J106*AD106*Inputs!$C$72,0)</f>
        <v>0</v>
      </c>
      <c r="AG106" s="23" t="e">
        <f t="shared" si="52"/>
        <v>#VALUE!</v>
      </c>
      <c r="AH106" s="23" t="e">
        <f t="shared" si="53"/>
        <v>#VALUE!</v>
      </c>
      <c r="AI106" s="23" t="e">
        <f t="shared" si="54"/>
        <v>#VALUE!</v>
      </c>
      <c r="AJ106" s="23" t="e">
        <f t="shared" si="55"/>
        <v>#VALUE!</v>
      </c>
    </row>
    <row r="107" spans="1:36" x14ac:dyDescent="0.2">
      <c r="A107" s="6"/>
      <c r="B107" s="6"/>
      <c r="C107" s="6"/>
      <c r="D107" s="6"/>
      <c r="E107" s="11"/>
      <c r="F107" s="11"/>
      <c r="G107" s="11"/>
      <c r="H107" s="11"/>
      <c r="I107" s="10" t="str">
        <f t="shared" si="42"/>
        <v/>
      </c>
      <c r="J107" s="10" t="str">
        <f t="shared" si="43"/>
        <v/>
      </c>
      <c r="K107" s="14" t="str">
        <f t="shared" si="44"/>
        <v/>
      </c>
      <c r="L107" s="10" t="str">
        <f>IF(C107="BC",'Mix Design'!$B$9,IF(C107="DBM",'Mix Design'!$C$9,""))</f>
        <v/>
      </c>
      <c r="M107" s="10" t="str">
        <f>IF(C107="BC",Inputs!$C$17,IF(C107="DBM",Inputs!$C$18,""))</f>
        <v/>
      </c>
      <c r="N107" s="10" t="e">
        <f t="shared" si="45"/>
        <v>#VALUE!</v>
      </c>
      <c r="O107" s="10" t="e">
        <f t="shared" si="46"/>
        <v>#VALUE!</v>
      </c>
      <c r="P107" s="10" t="e">
        <f t="shared" si="47"/>
        <v>#VALUE!</v>
      </c>
      <c r="Q107" s="23" t="e">
        <f>IF(AND(P107&gt;0,Inputs!$C$6&gt;0),P107/Inputs!$C$6*Inputs!$C$7,"")</f>
        <v>#VALUE!</v>
      </c>
      <c r="R107" s="23" t="str">
        <f>IF(C107="BC",'Rate Model'!$C$19,IF(C107="DBM",'Rate Model'!$E$19,""))</f>
        <v/>
      </c>
      <c r="S107" s="11" t="e">
        <f t="shared" si="48"/>
        <v>#VALUE!</v>
      </c>
      <c r="T107" s="11" t="str">
        <f>IF(A107&lt;&gt;"",Inputs!$C$47,"")</f>
        <v/>
      </c>
      <c r="U107" s="11" t="str">
        <f>IF(A107&lt;&gt;"",Inputs!$C$48,"")</f>
        <v/>
      </c>
      <c r="V107" s="11">
        <v>2</v>
      </c>
      <c r="W107" s="11" t="str">
        <f>IF(A107&lt;&gt;"",Inputs!$C$49,"")</f>
        <v/>
      </c>
      <c r="X107" s="23">
        <v>0</v>
      </c>
      <c r="Y107" s="23" t="e">
        <f t="shared" si="49"/>
        <v>#VALUE!</v>
      </c>
      <c r="Z107" s="23" t="e">
        <f t="shared" si="50"/>
        <v>#VALUE!</v>
      </c>
      <c r="AA107" s="5" t="str">
        <f>IF(A107&lt;&gt;"",Inputs!$C$57,"")</f>
        <v/>
      </c>
      <c r="AB107" s="6" t="e">
        <f t="shared" si="51"/>
        <v>#VALUE!</v>
      </c>
      <c r="AC107" s="6"/>
      <c r="AD107" s="23"/>
      <c r="AE107" s="23">
        <f>IF(AND(J107&gt;0,AC107&gt;0),J107*AC107*Inputs!$C$71,0)</f>
        <v>0</v>
      </c>
      <c r="AF107" s="23">
        <f>IF(AND(J107&gt;0,AD107&gt;0),J107*AD107*Inputs!$C$72,0)</f>
        <v>0</v>
      </c>
      <c r="AG107" s="23" t="e">
        <f t="shared" si="52"/>
        <v>#VALUE!</v>
      </c>
      <c r="AH107" s="23" t="e">
        <f t="shared" si="53"/>
        <v>#VALUE!</v>
      </c>
      <c r="AI107" s="23" t="e">
        <f t="shared" si="54"/>
        <v>#VALUE!</v>
      </c>
      <c r="AJ107" s="23" t="e">
        <f t="shared" si="55"/>
        <v>#VALUE!</v>
      </c>
    </row>
    <row r="108" spans="1:36" x14ac:dyDescent="0.2">
      <c r="A108" s="6"/>
      <c r="B108" s="6"/>
      <c r="C108" s="6"/>
      <c r="D108" s="6"/>
      <c r="E108" s="11"/>
      <c r="F108" s="11"/>
      <c r="G108" s="11"/>
      <c r="H108" s="11"/>
      <c r="I108" s="10" t="str">
        <f t="shared" si="42"/>
        <v/>
      </c>
      <c r="J108" s="10" t="str">
        <f t="shared" si="43"/>
        <v/>
      </c>
      <c r="K108" s="14" t="str">
        <f t="shared" si="44"/>
        <v/>
      </c>
      <c r="L108" s="10" t="str">
        <f>IF(C108="BC",'Mix Design'!$B$9,IF(C108="DBM",'Mix Design'!$C$9,""))</f>
        <v/>
      </c>
      <c r="M108" s="10" t="str">
        <f>IF(C108="BC",Inputs!$C$17,IF(C108="DBM",Inputs!$C$18,""))</f>
        <v/>
      </c>
      <c r="N108" s="10" t="e">
        <f t="shared" si="45"/>
        <v>#VALUE!</v>
      </c>
      <c r="O108" s="10" t="e">
        <f t="shared" si="46"/>
        <v>#VALUE!</v>
      </c>
      <c r="P108" s="10" t="e">
        <f t="shared" si="47"/>
        <v>#VALUE!</v>
      </c>
      <c r="Q108" s="23" t="e">
        <f>IF(AND(P108&gt;0,Inputs!$C$6&gt;0),P108/Inputs!$C$6*Inputs!$C$7,"")</f>
        <v>#VALUE!</v>
      </c>
      <c r="R108" s="23" t="str">
        <f>IF(C108="BC",'Rate Model'!$C$19,IF(C108="DBM",'Rate Model'!$E$19,""))</f>
        <v/>
      </c>
      <c r="S108" s="11" t="e">
        <f t="shared" si="48"/>
        <v>#VALUE!</v>
      </c>
      <c r="T108" s="11" t="str">
        <f>IF(A108&lt;&gt;"",Inputs!$C$47,"")</f>
        <v/>
      </c>
      <c r="U108" s="11" t="str">
        <f>IF(A108&lt;&gt;"",Inputs!$C$48,"")</f>
        <v/>
      </c>
      <c r="V108" s="11">
        <v>2</v>
      </c>
      <c r="W108" s="11" t="str">
        <f>IF(A108&lt;&gt;"",Inputs!$C$49,"")</f>
        <v/>
      </c>
      <c r="X108" s="23">
        <v>0</v>
      </c>
      <c r="Y108" s="23" t="e">
        <f t="shared" si="49"/>
        <v>#VALUE!</v>
      </c>
      <c r="Z108" s="23" t="e">
        <f t="shared" si="50"/>
        <v>#VALUE!</v>
      </c>
      <c r="AA108" s="5" t="str">
        <f>IF(A108&lt;&gt;"",Inputs!$C$57,"")</f>
        <v/>
      </c>
      <c r="AB108" s="6" t="e">
        <f t="shared" si="51"/>
        <v>#VALUE!</v>
      </c>
      <c r="AC108" s="6"/>
      <c r="AD108" s="23"/>
      <c r="AE108" s="23">
        <f>IF(AND(J108&gt;0,AC108&gt;0),J108*AC108*Inputs!$C$71,0)</f>
        <v>0</v>
      </c>
      <c r="AF108" s="23">
        <f>IF(AND(J108&gt;0,AD108&gt;0),J108*AD108*Inputs!$C$72,0)</f>
        <v>0</v>
      </c>
      <c r="AG108" s="23" t="e">
        <f t="shared" si="52"/>
        <v>#VALUE!</v>
      </c>
      <c r="AH108" s="23" t="e">
        <f t="shared" si="53"/>
        <v>#VALUE!</v>
      </c>
      <c r="AI108" s="23" t="e">
        <f t="shared" si="54"/>
        <v>#VALUE!</v>
      </c>
      <c r="AJ108" s="23" t="e">
        <f t="shared" si="55"/>
        <v>#VALUE!</v>
      </c>
    </row>
    <row r="109" spans="1:36" x14ac:dyDescent="0.2">
      <c r="A109" s="6"/>
      <c r="B109" s="6"/>
      <c r="C109" s="6"/>
      <c r="D109" s="6"/>
      <c r="E109" s="11"/>
      <c r="F109" s="11"/>
      <c r="G109" s="11"/>
      <c r="H109" s="11"/>
      <c r="I109" s="10" t="str">
        <f t="shared" si="42"/>
        <v/>
      </c>
      <c r="J109" s="10" t="str">
        <f t="shared" si="43"/>
        <v/>
      </c>
      <c r="K109" s="14" t="str">
        <f t="shared" si="44"/>
        <v/>
      </c>
      <c r="L109" s="10" t="str">
        <f>IF(C109="BC",'Mix Design'!$B$9,IF(C109="DBM",'Mix Design'!$C$9,""))</f>
        <v/>
      </c>
      <c r="M109" s="10" t="str">
        <f>IF(C109="BC",Inputs!$C$17,IF(C109="DBM",Inputs!$C$18,""))</f>
        <v/>
      </c>
      <c r="N109" s="10" t="e">
        <f t="shared" si="45"/>
        <v>#VALUE!</v>
      </c>
      <c r="O109" s="10" t="e">
        <f t="shared" si="46"/>
        <v>#VALUE!</v>
      </c>
      <c r="P109" s="10" t="e">
        <f t="shared" si="47"/>
        <v>#VALUE!</v>
      </c>
      <c r="Q109" s="23" t="e">
        <f>IF(AND(P109&gt;0,Inputs!$C$6&gt;0),P109/Inputs!$C$6*Inputs!$C$7,"")</f>
        <v>#VALUE!</v>
      </c>
      <c r="R109" s="23" t="str">
        <f>IF(C109="BC",'Rate Model'!$C$19,IF(C109="DBM",'Rate Model'!$E$19,""))</f>
        <v/>
      </c>
      <c r="S109" s="11" t="e">
        <f t="shared" si="48"/>
        <v>#VALUE!</v>
      </c>
      <c r="T109" s="11" t="str">
        <f>IF(A109&lt;&gt;"",Inputs!$C$47,"")</f>
        <v/>
      </c>
      <c r="U109" s="11" t="str">
        <f>IF(A109&lt;&gt;"",Inputs!$C$48,"")</f>
        <v/>
      </c>
      <c r="V109" s="11">
        <v>2</v>
      </c>
      <c r="W109" s="11" t="str">
        <f>IF(A109&lt;&gt;"",Inputs!$C$49,"")</f>
        <v/>
      </c>
      <c r="X109" s="23">
        <v>0</v>
      </c>
      <c r="Y109" s="23" t="e">
        <f t="shared" si="49"/>
        <v>#VALUE!</v>
      </c>
      <c r="Z109" s="23" t="e">
        <f t="shared" si="50"/>
        <v>#VALUE!</v>
      </c>
      <c r="AA109" s="5" t="str">
        <f>IF(A109&lt;&gt;"",Inputs!$C$57,"")</f>
        <v/>
      </c>
      <c r="AB109" s="6" t="e">
        <f t="shared" si="51"/>
        <v>#VALUE!</v>
      </c>
      <c r="AC109" s="6"/>
      <c r="AD109" s="23"/>
      <c r="AE109" s="23">
        <f>IF(AND(J109&gt;0,AC109&gt;0),J109*AC109*Inputs!$C$71,0)</f>
        <v>0</v>
      </c>
      <c r="AF109" s="23">
        <f>IF(AND(J109&gt;0,AD109&gt;0),J109*AD109*Inputs!$C$72,0)</f>
        <v>0</v>
      </c>
      <c r="AG109" s="23" t="e">
        <f t="shared" si="52"/>
        <v>#VALUE!</v>
      </c>
      <c r="AH109" s="23" t="e">
        <f t="shared" si="53"/>
        <v>#VALUE!</v>
      </c>
      <c r="AI109" s="23" t="e">
        <f t="shared" si="54"/>
        <v>#VALUE!</v>
      </c>
      <c r="AJ109" s="23" t="e">
        <f t="shared" si="55"/>
        <v>#VALUE!</v>
      </c>
    </row>
    <row r="110" spans="1:36" x14ac:dyDescent="0.2">
      <c r="A110" s="6"/>
      <c r="B110" s="6"/>
      <c r="C110" s="6"/>
      <c r="D110" s="6"/>
      <c r="E110" s="11"/>
      <c r="F110" s="11"/>
      <c r="G110" s="11"/>
      <c r="H110" s="11"/>
      <c r="I110" s="10" t="str">
        <f t="shared" si="42"/>
        <v/>
      </c>
      <c r="J110" s="10" t="str">
        <f t="shared" si="43"/>
        <v/>
      </c>
      <c r="K110" s="14" t="str">
        <f t="shared" si="44"/>
        <v/>
      </c>
      <c r="L110" s="10" t="str">
        <f>IF(C110="BC",'Mix Design'!$B$9,IF(C110="DBM",'Mix Design'!$C$9,""))</f>
        <v/>
      </c>
      <c r="M110" s="10" t="str">
        <f>IF(C110="BC",Inputs!$C$17,IF(C110="DBM",Inputs!$C$18,""))</f>
        <v/>
      </c>
      <c r="N110" s="10" t="e">
        <f t="shared" si="45"/>
        <v>#VALUE!</v>
      </c>
      <c r="O110" s="10" t="e">
        <f t="shared" si="46"/>
        <v>#VALUE!</v>
      </c>
      <c r="P110" s="10" t="e">
        <f t="shared" si="47"/>
        <v>#VALUE!</v>
      </c>
      <c r="Q110" s="23" t="e">
        <f>IF(AND(P110&gt;0,Inputs!$C$6&gt;0),P110/Inputs!$C$6*Inputs!$C$7,"")</f>
        <v>#VALUE!</v>
      </c>
      <c r="R110" s="23" t="str">
        <f>IF(C110="BC",'Rate Model'!$C$19,IF(C110="DBM",'Rate Model'!$E$19,""))</f>
        <v/>
      </c>
      <c r="S110" s="11" t="e">
        <f t="shared" si="48"/>
        <v>#VALUE!</v>
      </c>
      <c r="T110" s="11" t="str">
        <f>IF(A110&lt;&gt;"",Inputs!$C$47,"")</f>
        <v/>
      </c>
      <c r="U110" s="11" t="str">
        <f>IF(A110&lt;&gt;"",Inputs!$C$48,"")</f>
        <v/>
      </c>
      <c r="V110" s="11">
        <v>2</v>
      </c>
      <c r="W110" s="11" t="str">
        <f>IF(A110&lt;&gt;"",Inputs!$C$49,"")</f>
        <v/>
      </c>
      <c r="X110" s="23">
        <v>0</v>
      </c>
      <c r="Y110" s="23" t="e">
        <f t="shared" si="49"/>
        <v>#VALUE!</v>
      </c>
      <c r="Z110" s="23" t="e">
        <f t="shared" si="50"/>
        <v>#VALUE!</v>
      </c>
      <c r="AA110" s="5" t="str">
        <f>IF(A110&lt;&gt;"",Inputs!$C$57,"")</f>
        <v/>
      </c>
      <c r="AB110" s="6" t="e">
        <f t="shared" si="51"/>
        <v>#VALUE!</v>
      </c>
      <c r="AC110" s="6"/>
      <c r="AD110" s="23"/>
      <c r="AE110" s="23">
        <f>IF(AND(J110&gt;0,AC110&gt;0),J110*AC110*Inputs!$C$71,0)</f>
        <v>0</v>
      </c>
      <c r="AF110" s="23">
        <f>IF(AND(J110&gt;0,AD110&gt;0),J110*AD110*Inputs!$C$72,0)</f>
        <v>0</v>
      </c>
      <c r="AG110" s="23" t="e">
        <f t="shared" si="52"/>
        <v>#VALUE!</v>
      </c>
      <c r="AH110" s="23" t="e">
        <f t="shared" si="53"/>
        <v>#VALUE!</v>
      </c>
      <c r="AI110" s="23" t="e">
        <f t="shared" si="54"/>
        <v>#VALUE!</v>
      </c>
      <c r="AJ110" s="23" t="e">
        <f t="shared" si="55"/>
        <v>#VALUE!</v>
      </c>
    </row>
    <row r="111" spans="1:36" x14ac:dyDescent="0.2">
      <c r="A111" s="6"/>
      <c r="B111" s="6"/>
      <c r="C111" s="6"/>
      <c r="D111" s="6"/>
      <c r="E111" s="11"/>
      <c r="F111" s="11"/>
      <c r="G111" s="11"/>
      <c r="H111" s="11"/>
      <c r="I111" s="10" t="str">
        <f t="shared" si="42"/>
        <v/>
      </c>
      <c r="J111" s="10" t="str">
        <f t="shared" si="43"/>
        <v/>
      </c>
      <c r="K111" s="14" t="str">
        <f t="shared" si="44"/>
        <v/>
      </c>
      <c r="L111" s="10" t="str">
        <f>IF(C111="BC",'Mix Design'!$B$9,IF(C111="DBM",'Mix Design'!$C$9,""))</f>
        <v/>
      </c>
      <c r="M111" s="10" t="str">
        <f>IF(C111="BC",Inputs!$C$17,IF(C111="DBM",Inputs!$C$18,""))</f>
        <v/>
      </c>
      <c r="N111" s="10" t="e">
        <f t="shared" si="45"/>
        <v>#VALUE!</v>
      </c>
      <c r="O111" s="10" t="e">
        <f t="shared" si="46"/>
        <v>#VALUE!</v>
      </c>
      <c r="P111" s="10" t="e">
        <f t="shared" si="47"/>
        <v>#VALUE!</v>
      </c>
      <c r="Q111" s="23" t="e">
        <f>IF(AND(P111&gt;0,Inputs!$C$6&gt;0),P111/Inputs!$C$6*Inputs!$C$7,"")</f>
        <v>#VALUE!</v>
      </c>
      <c r="R111" s="23" t="str">
        <f>IF(C111="BC",'Rate Model'!$C$19,IF(C111="DBM",'Rate Model'!$E$19,""))</f>
        <v/>
      </c>
      <c r="S111" s="11" t="e">
        <f t="shared" si="48"/>
        <v>#VALUE!</v>
      </c>
      <c r="T111" s="11" t="str">
        <f>IF(A111&lt;&gt;"",Inputs!$C$47,"")</f>
        <v/>
      </c>
      <c r="U111" s="11" t="str">
        <f>IF(A111&lt;&gt;"",Inputs!$C$48,"")</f>
        <v/>
      </c>
      <c r="V111" s="11">
        <v>2</v>
      </c>
      <c r="W111" s="11" t="str">
        <f>IF(A111&lt;&gt;"",Inputs!$C$49,"")</f>
        <v/>
      </c>
      <c r="X111" s="23">
        <v>0</v>
      </c>
      <c r="Y111" s="23" t="e">
        <f t="shared" si="49"/>
        <v>#VALUE!</v>
      </c>
      <c r="Z111" s="23" t="e">
        <f t="shared" si="50"/>
        <v>#VALUE!</v>
      </c>
      <c r="AA111" s="5" t="str">
        <f>IF(A111&lt;&gt;"",Inputs!$C$57,"")</f>
        <v/>
      </c>
      <c r="AB111" s="6" t="e">
        <f t="shared" si="51"/>
        <v>#VALUE!</v>
      </c>
      <c r="AC111" s="6"/>
      <c r="AD111" s="23"/>
      <c r="AE111" s="23">
        <f>IF(AND(J111&gt;0,AC111&gt;0),J111*AC111*Inputs!$C$71,0)</f>
        <v>0</v>
      </c>
      <c r="AF111" s="23">
        <f>IF(AND(J111&gt;0,AD111&gt;0),J111*AD111*Inputs!$C$72,0)</f>
        <v>0</v>
      </c>
      <c r="AG111" s="23" t="e">
        <f t="shared" si="52"/>
        <v>#VALUE!</v>
      </c>
      <c r="AH111" s="23" t="e">
        <f t="shared" si="53"/>
        <v>#VALUE!</v>
      </c>
      <c r="AI111" s="23" t="e">
        <f t="shared" si="54"/>
        <v>#VALUE!</v>
      </c>
      <c r="AJ111" s="23" t="e">
        <f t="shared" si="55"/>
        <v>#VALUE!</v>
      </c>
    </row>
    <row r="112" spans="1:36" x14ac:dyDescent="0.2">
      <c r="A112" s="6"/>
      <c r="B112" s="6"/>
      <c r="C112" s="6"/>
      <c r="D112" s="6"/>
      <c r="E112" s="11"/>
      <c r="F112" s="11"/>
      <c r="G112" s="11"/>
      <c r="H112" s="11"/>
      <c r="I112" s="10" t="str">
        <f t="shared" si="42"/>
        <v/>
      </c>
      <c r="J112" s="10" t="str">
        <f t="shared" si="43"/>
        <v/>
      </c>
      <c r="K112" s="14" t="str">
        <f t="shared" si="44"/>
        <v/>
      </c>
      <c r="L112" s="10" t="str">
        <f>IF(C112="BC",'Mix Design'!$B$9,IF(C112="DBM",'Mix Design'!$C$9,""))</f>
        <v/>
      </c>
      <c r="M112" s="10" t="str">
        <f>IF(C112="BC",Inputs!$C$17,IF(C112="DBM",Inputs!$C$18,""))</f>
        <v/>
      </c>
      <c r="N112" s="10" t="e">
        <f t="shared" si="45"/>
        <v>#VALUE!</v>
      </c>
      <c r="O112" s="10" t="e">
        <f t="shared" si="46"/>
        <v>#VALUE!</v>
      </c>
      <c r="P112" s="10" t="e">
        <f t="shared" si="47"/>
        <v>#VALUE!</v>
      </c>
      <c r="Q112" s="23" t="e">
        <f>IF(AND(P112&gt;0,Inputs!$C$6&gt;0),P112/Inputs!$C$6*Inputs!$C$7,"")</f>
        <v>#VALUE!</v>
      </c>
      <c r="R112" s="23" t="str">
        <f>IF(C112="BC",'Rate Model'!$C$19,IF(C112="DBM",'Rate Model'!$E$19,""))</f>
        <v/>
      </c>
      <c r="S112" s="11" t="e">
        <f t="shared" si="48"/>
        <v>#VALUE!</v>
      </c>
      <c r="T112" s="11" t="str">
        <f>IF(A112&lt;&gt;"",Inputs!$C$47,"")</f>
        <v/>
      </c>
      <c r="U112" s="11" t="str">
        <f>IF(A112&lt;&gt;"",Inputs!$C$48,"")</f>
        <v/>
      </c>
      <c r="V112" s="11">
        <v>2</v>
      </c>
      <c r="W112" s="11" t="str">
        <f>IF(A112&lt;&gt;"",Inputs!$C$49,"")</f>
        <v/>
      </c>
      <c r="X112" s="23">
        <v>0</v>
      </c>
      <c r="Y112" s="23" t="e">
        <f t="shared" si="49"/>
        <v>#VALUE!</v>
      </c>
      <c r="Z112" s="23" t="e">
        <f t="shared" si="50"/>
        <v>#VALUE!</v>
      </c>
      <c r="AA112" s="5" t="str">
        <f>IF(A112&lt;&gt;"",Inputs!$C$57,"")</f>
        <v/>
      </c>
      <c r="AB112" s="6" t="e">
        <f t="shared" si="51"/>
        <v>#VALUE!</v>
      </c>
      <c r="AC112" s="6"/>
      <c r="AD112" s="23"/>
      <c r="AE112" s="23">
        <f>IF(AND(J112&gt;0,AC112&gt;0),J112*AC112*Inputs!$C$71,0)</f>
        <v>0</v>
      </c>
      <c r="AF112" s="23">
        <f>IF(AND(J112&gt;0,AD112&gt;0),J112*AD112*Inputs!$C$72,0)</f>
        <v>0</v>
      </c>
      <c r="AG112" s="23" t="e">
        <f t="shared" si="52"/>
        <v>#VALUE!</v>
      </c>
      <c r="AH112" s="23" t="e">
        <f t="shared" si="53"/>
        <v>#VALUE!</v>
      </c>
      <c r="AI112" s="23" t="e">
        <f t="shared" si="54"/>
        <v>#VALUE!</v>
      </c>
      <c r="AJ112" s="23" t="e">
        <f t="shared" si="55"/>
        <v>#VALUE!</v>
      </c>
    </row>
    <row r="113" spans="1:36" x14ac:dyDescent="0.2">
      <c r="A113" s="6"/>
      <c r="B113" s="6"/>
      <c r="C113" s="6"/>
      <c r="D113" s="6"/>
      <c r="E113" s="11"/>
      <c r="F113" s="11"/>
      <c r="G113" s="11"/>
      <c r="H113" s="11"/>
      <c r="I113" s="10" t="str">
        <f t="shared" si="42"/>
        <v/>
      </c>
      <c r="J113" s="10" t="str">
        <f t="shared" si="43"/>
        <v/>
      </c>
      <c r="K113" s="14" t="str">
        <f t="shared" si="44"/>
        <v/>
      </c>
      <c r="L113" s="10" t="str">
        <f>IF(C113="BC",'Mix Design'!$B$9,IF(C113="DBM",'Mix Design'!$C$9,""))</f>
        <v/>
      </c>
      <c r="M113" s="10" t="str">
        <f>IF(C113="BC",Inputs!$C$17,IF(C113="DBM",Inputs!$C$18,""))</f>
        <v/>
      </c>
      <c r="N113" s="10" t="e">
        <f t="shared" si="45"/>
        <v>#VALUE!</v>
      </c>
      <c r="O113" s="10" t="e">
        <f t="shared" si="46"/>
        <v>#VALUE!</v>
      </c>
      <c r="P113" s="10" t="e">
        <f t="shared" si="47"/>
        <v>#VALUE!</v>
      </c>
      <c r="Q113" s="23" t="e">
        <f>IF(AND(P113&gt;0,Inputs!$C$6&gt;0),P113/Inputs!$C$6*Inputs!$C$7,"")</f>
        <v>#VALUE!</v>
      </c>
      <c r="R113" s="23" t="str">
        <f>IF(C113="BC",'Rate Model'!$C$19,IF(C113="DBM",'Rate Model'!$E$19,""))</f>
        <v/>
      </c>
      <c r="S113" s="11" t="e">
        <f t="shared" si="48"/>
        <v>#VALUE!</v>
      </c>
      <c r="T113" s="11" t="str">
        <f>IF(A113&lt;&gt;"",Inputs!$C$47,"")</f>
        <v/>
      </c>
      <c r="U113" s="11" t="str">
        <f>IF(A113&lt;&gt;"",Inputs!$C$48,"")</f>
        <v/>
      </c>
      <c r="V113" s="11">
        <v>2</v>
      </c>
      <c r="W113" s="11" t="str">
        <f>IF(A113&lt;&gt;"",Inputs!$C$49,"")</f>
        <v/>
      </c>
      <c r="X113" s="23">
        <v>0</v>
      </c>
      <c r="Y113" s="23" t="e">
        <f t="shared" si="49"/>
        <v>#VALUE!</v>
      </c>
      <c r="Z113" s="23" t="e">
        <f t="shared" si="50"/>
        <v>#VALUE!</v>
      </c>
      <c r="AA113" s="5" t="str">
        <f>IF(A113&lt;&gt;"",Inputs!$C$57,"")</f>
        <v/>
      </c>
      <c r="AB113" s="6" t="e">
        <f t="shared" si="51"/>
        <v>#VALUE!</v>
      </c>
      <c r="AC113" s="6"/>
      <c r="AD113" s="23"/>
      <c r="AE113" s="23">
        <f>IF(AND(J113&gt;0,AC113&gt;0),J113*AC113*Inputs!$C$71,0)</f>
        <v>0</v>
      </c>
      <c r="AF113" s="23">
        <f>IF(AND(J113&gt;0,AD113&gt;0),J113*AD113*Inputs!$C$72,0)</f>
        <v>0</v>
      </c>
      <c r="AG113" s="23" t="e">
        <f t="shared" si="52"/>
        <v>#VALUE!</v>
      </c>
      <c r="AH113" s="23" t="e">
        <f t="shared" si="53"/>
        <v>#VALUE!</v>
      </c>
      <c r="AI113" s="23" t="e">
        <f t="shared" si="54"/>
        <v>#VALUE!</v>
      </c>
      <c r="AJ113" s="23" t="e">
        <f t="shared" si="55"/>
        <v>#VALUE!</v>
      </c>
    </row>
    <row r="114" spans="1:36" x14ac:dyDescent="0.2">
      <c r="A114" s="6"/>
      <c r="B114" s="6"/>
      <c r="C114" s="6"/>
      <c r="D114" s="6"/>
      <c r="E114" s="11"/>
      <c r="F114" s="11"/>
      <c r="G114" s="11"/>
      <c r="H114" s="11"/>
      <c r="I114" s="10" t="str">
        <f t="shared" si="42"/>
        <v/>
      </c>
      <c r="J114" s="10" t="str">
        <f t="shared" si="43"/>
        <v/>
      </c>
      <c r="K114" s="14" t="str">
        <f t="shared" si="44"/>
        <v/>
      </c>
      <c r="L114" s="10" t="str">
        <f>IF(C114="BC",'Mix Design'!$B$9,IF(C114="DBM",'Mix Design'!$C$9,""))</f>
        <v/>
      </c>
      <c r="M114" s="10" t="str">
        <f>IF(C114="BC",Inputs!$C$17,IF(C114="DBM",Inputs!$C$18,""))</f>
        <v/>
      </c>
      <c r="N114" s="10" t="e">
        <f t="shared" si="45"/>
        <v>#VALUE!</v>
      </c>
      <c r="O114" s="10" t="e">
        <f t="shared" si="46"/>
        <v>#VALUE!</v>
      </c>
      <c r="P114" s="10" t="e">
        <f t="shared" si="47"/>
        <v>#VALUE!</v>
      </c>
      <c r="Q114" s="23" t="e">
        <f>IF(AND(P114&gt;0,Inputs!$C$6&gt;0),P114/Inputs!$C$6*Inputs!$C$7,"")</f>
        <v>#VALUE!</v>
      </c>
      <c r="R114" s="23" t="str">
        <f>IF(C114="BC",'Rate Model'!$C$19,IF(C114="DBM",'Rate Model'!$E$19,""))</f>
        <v/>
      </c>
      <c r="S114" s="11" t="e">
        <f t="shared" si="48"/>
        <v>#VALUE!</v>
      </c>
      <c r="T114" s="11" t="str">
        <f>IF(A114&lt;&gt;"",Inputs!$C$47,"")</f>
        <v/>
      </c>
      <c r="U114" s="11" t="str">
        <f>IF(A114&lt;&gt;"",Inputs!$C$48,"")</f>
        <v/>
      </c>
      <c r="V114" s="11">
        <v>2</v>
      </c>
      <c r="W114" s="11" t="str">
        <f>IF(A114&lt;&gt;"",Inputs!$C$49,"")</f>
        <v/>
      </c>
      <c r="X114" s="23">
        <v>0</v>
      </c>
      <c r="Y114" s="23" t="e">
        <f t="shared" si="49"/>
        <v>#VALUE!</v>
      </c>
      <c r="Z114" s="23" t="e">
        <f t="shared" si="50"/>
        <v>#VALUE!</v>
      </c>
      <c r="AA114" s="5" t="str">
        <f>IF(A114&lt;&gt;"",Inputs!$C$57,"")</f>
        <v/>
      </c>
      <c r="AB114" s="6" t="e">
        <f t="shared" si="51"/>
        <v>#VALUE!</v>
      </c>
      <c r="AC114" s="6"/>
      <c r="AD114" s="23"/>
      <c r="AE114" s="23">
        <f>IF(AND(J114&gt;0,AC114&gt;0),J114*AC114*Inputs!$C$71,0)</f>
        <v>0</v>
      </c>
      <c r="AF114" s="23">
        <f>IF(AND(J114&gt;0,AD114&gt;0),J114*AD114*Inputs!$C$72,0)</f>
        <v>0</v>
      </c>
      <c r="AG114" s="23" t="e">
        <f t="shared" si="52"/>
        <v>#VALUE!</v>
      </c>
      <c r="AH114" s="23" t="e">
        <f t="shared" si="53"/>
        <v>#VALUE!</v>
      </c>
      <c r="AI114" s="23" t="e">
        <f t="shared" si="54"/>
        <v>#VALUE!</v>
      </c>
      <c r="AJ114" s="23" t="e">
        <f t="shared" si="55"/>
        <v>#VALUE!</v>
      </c>
    </row>
    <row r="115" spans="1:36" x14ac:dyDescent="0.2">
      <c r="A115" s="6"/>
      <c r="B115" s="6"/>
      <c r="C115" s="6"/>
      <c r="D115" s="6"/>
      <c r="E115" s="11"/>
      <c r="F115" s="11"/>
      <c r="G115" s="11"/>
      <c r="H115" s="11"/>
      <c r="I115" s="10" t="str">
        <f t="shared" si="42"/>
        <v/>
      </c>
      <c r="J115" s="10" t="str">
        <f t="shared" si="43"/>
        <v/>
      </c>
      <c r="K115" s="14" t="str">
        <f t="shared" si="44"/>
        <v/>
      </c>
      <c r="L115" s="10" t="str">
        <f>IF(C115="BC",'Mix Design'!$B$9,IF(C115="DBM",'Mix Design'!$C$9,""))</f>
        <v/>
      </c>
      <c r="M115" s="10" t="str">
        <f>IF(C115="BC",Inputs!$C$17,IF(C115="DBM",Inputs!$C$18,""))</f>
        <v/>
      </c>
      <c r="N115" s="10" t="e">
        <f t="shared" si="45"/>
        <v>#VALUE!</v>
      </c>
      <c r="O115" s="10" t="e">
        <f t="shared" si="46"/>
        <v>#VALUE!</v>
      </c>
      <c r="P115" s="10" t="e">
        <f t="shared" si="47"/>
        <v>#VALUE!</v>
      </c>
      <c r="Q115" s="23" t="e">
        <f>IF(AND(P115&gt;0,Inputs!$C$6&gt;0),P115/Inputs!$C$6*Inputs!$C$7,"")</f>
        <v>#VALUE!</v>
      </c>
      <c r="R115" s="23" t="str">
        <f>IF(C115="BC",'Rate Model'!$C$19,IF(C115="DBM",'Rate Model'!$E$19,""))</f>
        <v/>
      </c>
      <c r="S115" s="11" t="e">
        <f t="shared" si="48"/>
        <v>#VALUE!</v>
      </c>
      <c r="T115" s="11" t="str">
        <f>IF(A115&lt;&gt;"",Inputs!$C$47,"")</f>
        <v/>
      </c>
      <c r="U115" s="11" t="str">
        <f>IF(A115&lt;&gt;"",Inputs!$C$48,"")</f>
        <v/>
      </c>
      <c r="V115" s="11">
        <v>2</v>
      </c>
      <c r="W115" s="11" t="str">
        <f>IF(A115&lt;&gt;"",Inputs!$C$49,"")</f>
        <v/>
      </c>
      <c r="X115" s="23">
        <v>0</v>
      </c>
      <c r="Y115" s="23" t="e">
        <f t="shared" si="49"/>
        <v>#VALUE!</v>
      </c>
      <c r="Z115" s="23" t="e">
        <f t="shared" si="50"/>
        <v>#VALUE!</v>
      </c>
      <c r="AA115" s="5" t="str">
        <f>IF(A115&lt;&gt;"",Inputs!$C$57,"")</f>
        <v/>
      </c>
      <c r="AB115" s="6" t="e">
        <f t="shared" si="51"/>
        <v>#VALUE!</v>
      </c>
      <c r="AC115" s="6"/>
      <c r="AD115" s="23"/>
      <c r="AE115" s="23">
        <f>IF(AND(J115&gt;0,AC115&gt;0),J115*AC115*Inputs!$C$71,0)</f>
        <v>0</v>
      </c>
      <c r="AF115" s="23">
        <f>IF(AND(J115&gt;0,AD115&gt;0),J115*AD115*Inputs!$C$72,0)</f>
        <v>0</v>
      </c>
      <c r="AG115" s="23" t="e">
        <f t="shared" si="52"/>
        <v>#VALUE!</v>
      </c>
      <c r="AH115" s="23" t="e">
        <f t="shared" si="53"/>
        <v>#VALUE!</v>
      </c>
      <c r="AI115" s="23" t="e">
        <f t="shared" si="54"/>
        <v>#VALUE!</v>
      </c>
      <c r="AJ115" s="23" t="e">
        <f t="shared" si="55"/>
        <v>#VALUE!</v>
      </c>
    </row>
    <row r="116" spans="1:36" x14ac:dyDescent="0.2">
      <c r="A116" s="6"/>
      <c r="B116" s="6"/>
      <c r="C116" s="6"/>
      <c r="D116" s="6"/>
      <c r="E116" s="11"/>
      <c r="F116" s="11"/>
      <c r="G116" s="11"/>
      <c r="H116" s="11"/>
      <c r="I116" s="10" t="str">
        <f t="shared" si="42"/>
        <v/>
      </c>
      <c r="J116" s="10" t="str">
        <f t="shared" si="43"/>
        <v/>
      </c>
      <c r="K116" s="14" t="str">
        <f t="shared" si="44"/>
        <v/>
      </c>
      <c r="L116" s="10" t="str">
        <f>IF(C116="BC",'Mix Design'!$B$9,IF(C116="DBM",'Mix Design'!$C$9,""))</f>
        <v/>
      </c>
      <c r="M116" s="10" t="str">
        <f>IF(C116="BC",Inputs!$C$17,IF(C116="DBM",Inputs!$C$18,""))</f>
        <v/>
      </c>
      <c r="N116" s="10" t="e">
        <f t="shared" si="45"/>
        <v>#VALUE!</v>
      </c>
      <c r="O116" s="10" t="e">
        <f t="shared" si="46"/>
        <v>#VALUE!</v>
      </c>
      <c r="P116" s="10" t="e">
        <f t="shared" si="47"/>
        <v>#VALUE!</v>
      </c>
      <c r="Q116" s="23" t="e">
        <f>IF(AND(P116&gt;0,Inputs!$C$6&gt;0),P116/Inputs!$C$6*Inputs!$C$7,"")</f>
        <v>#VALUE!</v>
      </c>
      <c r="R116" s="23" t="str">
        <f>IF(C116="BC",'Rate Model'!$C$19,IF(C116="DBM",'Rate Model'!$E$19,""))</f>
        <v/>
      </c>
      <c r="S116" s="11" t="e">
        <f t="shared" si="48"/>
        <v>#VALUE!</v>
      </c>
      <c r="T116" s="11" t="str">
        <f>IF(A116&lt;&gt;"",Inputs!$C$47,"")</f>
        <v/>
      </c>
      <c r="U116" s="11" t="str">
        <f>IF(A116&lt;&gt;"",Inputs!$C$48,"")</f>
        <v/>
      </c>
      <c r="V116" s="11">
        <v>2</v>
      </c>
      <c r="W116" s="11" t="str">
        <f>IF(A116&lt;&gt;"",Inputs!$C$49,"")</f>
        <v/>
      </c>
      <c r="X116" s="23">
        <v>0</v>
      </c>
      <c r="Y116" s="23" t="e">
        <f t="shared" si="49"/>
        <v>#VALUE!</v>
      </c>
      <c r="Z116" s="23" t="e">
        <f t="shared" si="50"/>
        <v>#VALUE!</v>
      </c>
      <c r="AA116" s="5" t="str">
        <f>IF(A116&lt;&gt;"",Inputs!$C$57,"")</f>
        <v/>
      </c>
      <c r="AB116" s="6" t="e">
        <f t="shared" si="51"/>
        <v>#VALUE!</v>
      </c>
      <c r="AC116" s="6"/>
      <c r="AD116" s="23"/>
      <c r="AE116" s="23">
        <f>IF(AND(J116&gt;0,AC116&gt;0),J116*AC116*Inputs!$C$71,0)</f>
        <v>0</v>
      </c>
      <c r="AF116" s="23">
        <f>IF(AND(J116&gt;0,AD116&gt;0),J116*AD116*Inputs!$C$72,0)</f>
        <v>0</v>
      </c>
      <c r="AG116" s="23" t="e">
        <f t="shared" si="52"/>
        <v>#VALUE!</v>
      </c>
      <c r="AH116" s="23" t="e">
        <f t="shared" si="53"/>
        <v>#VALUE!</v>
      </c>
      <c r="AI116" s="23" t="e">
        <f t="shared" si="54"/>
        <v>#VALUE!</v>
      </c>
      <c r="AJ116" s="23" t="e">
        <f t="shared" si="55"/>
        <v>#VALUE!</v>
      </c>
    </row>
    <row r="117" spans="1:36" x14ac:dyDescent="0.2">
      <c r="A117" s="6"/>
      <c r="B117" s="6"/>
      <c r="C117" s="6"/>
      <c r="D117" s="6"/>
      <c r="E117" s="11"/>
      <c r="F117" s="11"/>
      <c r="G117" s="11"/>
      <c r="H117" s="11"/>
      <c r="I117" s="10" t="str">
        <f t="shared" si="42"/>
        <v/>
      </c>
      <c r="J117" s="10" t="str">
        <f t="shared" si="43"/>
        <v/>
      </c>
      <c r="K117" s="14" t="str">
        <f t="shared" si="44"/>
        <v/>
      </c>
      <c r="L117" s="10" t="str">
        <f>IF(C117="BC",'Mix Design'!$B$9,IF(C117="DBM",'Mix Design'!$C$9,""))</f>
        <v/>
      </c>
      <c r="M117" s="10" t="str">
        <f>IF(C117="BC",Inputs!$C$17,IF(C117="DBM",Inputs!$C$18,""))</f>
        <v/>
      </c>
      <c r="N117" s="10" t="e">
        <f t="shared" si="45"/>
        <v>#VALUE!</v>
      </c>
      <c r="O117" s="10" t="e">
        <f t="shared" si="46"/>
        <v>#VALUE!</v>
      </c>
      <c r="P117" s="10" t="e">
        <f t="shared" si="47"/>
        <v>#VALUE!</v>
      </c>
      <c r="Q117" s="23" t="e">
        <f>IF(AND(P117&gt;0,Inputs!$C$6&gt;0),P117/Inputs!$C$6*Inputs!$C$7,"")</f>
        <v>#VALUE!</v>
      </c>
      <c r="R117" s="23" t="str">
        <f>IF(C117="BC",'Rate Model'!$C$19,IF(C117="DBM",'Rate Model'!$E$19,""))</f>
        <v/>
      </c>
      <c r="S117" s="11" t="e">
        <f t="shared" si="48"/>
        <v>#VALUE!</v>
      </c>
      <c r="T117" s="11" t="str">
        <f>IF(A117&lt;&gt;"",Inputs!$C$47,"")</f>
        <v/>
      </c>
      <c r="U117" s="11" t="str">
        <f>IF(A117&lt;&gt;"",Inputs!$C$48,"")</f>
        <v/>
      </c>
      <c r="V117" s="11">
        <v>2</v>
      </c>
      <c r="W117" s="11" t="str">
        <f>IF(A117&lt;&gt;"",Inputs!$C$49,"")</f>
        <v/>
      </c>
      <c r="X117" s="23">
        <v>0</v>
      </c>
      <c r="Y117" s="23" t="e">
        <f t="shared" si="49"/>
        <v>#VALUE!</v>
      </c>
      <c r="Z117" s="23" t="e">
        <f t="shared" si="50"/>
        <v>#VALUE!</v>
      </c>
      <c r="AA117" s="5" t="str">
        <f>IF(A117&lt;&gt;"",Inputs!$C$57,"")</f>
        <v/>
      </c>
      <c r="AB117" s="6" t="e">
        <f t="shared" si="51"/>
        <v>#VALUE!</v>
      </c>
      <c r="AC117" s="6"/>
      <c r="AD117" s="23"/>
      <c r="AE117" s="23">
        <f>IF(AND(J117&gt;0,AC117&gt;0),J117*AC117*Inputs!$C$71,0)</f>
        <v>0</v>
      </c>
      <c r="AF117" s="23">
        <f>IF(AND(J117&gt;0,AD117&gt;0),J117*AD117*Inputs!$C$72,0)</f>
        <v>0</v>
      </c>
      <c r="AG117" s="23" t="e">
        <f t="shared" si="52"/>
        <v>#VALUE!</v>
      </c>
      <c r="AH117" s="23" t="e">
        <f t="shared" si="53"/>
        <v>#VALUE!</v>
      </c>
      <c r="AI117" s="23" t="e">
        <f t="shared" si="54"/>
        <v>#VALUE!</v>
      </c>
      <c r="AJ117" s="23" t="e">
        <f t="shared" si="55"/>
        <v>#VALUE!</v>
      </c>
    </row>
    <row r="118" spans="1:36" x14ac:dyDescent="0.2">
      <c r="A118" s="6"/>
      <c r="B118" s="6"/>
      <c r="C118" s="6"/>
      <c r="D118" s="6"/>
      <c r="E118" s="11"/>
      <c r="F118" s="11"/>
      <c r="G118" s="11"/>
      <c r="H118" s="11"/>
      <c r="I118" s="10" t="str">
        <f t="shared" si="42"/>
        <v/>
      </c>
      <c r="J118" s="10" t="str">
        <f t="shared" si="43"/>
        <v/>
      </c>
      <c r="K118" s="14" t="str">
        <f t="shared" si="44"/>
        <v/>
      </c>
      <c r="L118" s="10" t="str">
        <f>IF(C118="BC",'Mix Design'!$B$9,IF(C118="DBM",'Mix Design'!$C$9,""))</f>
        <v/>
      </c>
      <c r="M118" s="10" t="str">
        <f>IF(C118="BC",Inputs!$C$17,IF(C118="DBM",Inputs!$C$18,""))</f>
        <v/>
      </c>
      <c r="N118" s="10" t="e">
        <f t="shared" si="45"/>
        <v>#VALUE!</v>
      </c>
      <c r="O118" s="10" t="e">
        <f t="shared" si="46"/>
        <v>#VALUE!</v>
      </c>
      <c r="P118" s="10" t="e">
        <f t="shared" si="47"/>
        <v>#VALUE!</v>
      </c>
      <c r="Q118" s="23" t="e">
        <f>IF(AND(P118&gt;0,Inputs!$C$6&gt;0),P118/Inputs!$C$6*Inputs!$C$7,"")</f>
        <v>#VALUE!</v>
      </c>
      <c r="R118" s="23" t="str">
        <f>IF(C118="BC",'Rate Model'!$C$19,IF(C118="DBM",'Rate Model'!$E$19,""))</f>
        <v/>
      </c>
      <c r="S118" s="11" t="e">
        <f t="shared" si="48"/>
        <v>#VALUE!</v>
      </c>
      <c r="T118" s="11" t="str">
        <f>IF(A118&lt;&gt;"",Inputs!$C$47,"")</f>
        <v/>
      </c>
      <c r="U118" s="11" t="str">
        <f>IF(A118&lt;&gt;"",Inputs!$C$48,"")</f>
        <v/>
      </c>
      <c r="V118" s="11">
        <v>2</v>
      </c>
      <c r="W118" s="11" t="str">
        <f>IF(A118&lt;&gt;"",Inputs!$C$49,"")</f>
        <v/>
      </c>
      <c r="X118" s="23">
        <v>0</v>
      </c>
      <c r="Y118" s="23" t="e">
        <f t="shared" si="49"/>
        <v>#VALUE!</v>
      </c>
      <c r="Z118" s="23" t="e">
        <f t="shared" si="50"/>
        <v>#VALUE!</v>
      </c>
      <c r="AA118" s="5" t="str">
        <f>IF(A118&lt;&gt;"",Inputs!$C$57,"")</f>
        <v/>
      </c>
      <c r="AB118" s="6" t="e">
        <f t="shared" si="51"/>
        <v>#VALUE!</v>
      </c>
      <c r="AC118" s="6"/>
      <c r="AD118" s="23"/>
      <c r="AE118" s="23">
        <f>IF(AND(J118&gt;0,AC118&gt;0),J118*AC118*Inputs!$C$71,0)</f>
        <v>0</v>
      </c>
      <c r="AF118" s="23">
        <f>IF(AND(J118&gt;0,AD118&gt;0),J118*AD118*Inputs!$C$72,0)</f>
        <v>0</v>
      </c>
      <c r="AG118" s="23" t="e">
        <f t="shared" si="52"/>
        <v>#VALUE!</v>
      </c>
      <c r="AH118" s="23" t="e">
        <f t="shared" si="53"/>
        <v>#VALUE!</v>
      </c>
      <c r="AI118" s="23" t="e">
        <f t="shared" si="54"/>
        <v>#VALUE!</v>
      </c>
      <c r="AJ118" s="23" t="e">
        <f t="shared" si="55"/>
        <v>#VALUE!</v>
      </c>
    </row>
    <row r="119" spans="1:36" x14ac:dyDescent="0.2">
      <c r="A119" s="6"/>
      <c r="B119" s="6"/>
      <c r="C119" s="6"/>
      <c r="D119" s="6"/>
      <c r="E119" s="11"/>
      <c r="F119" s="11"/>
      <c r="G119" s="11"/>
      <c r="H119" s="11"/>
      <c r="I119" s="10" t="str">
        <f t="shared" si="42"/>
        <v/>
      </c>
      <c r="J119" s="10" t="str">
        <f t="shared" si="43"/>
        <v/>
      </c>
      <c r="K119" s="14" t="str">
        <f t="shared" si="44"/>
        <v/>
      </c>
      <c r="L119" s="10" t="str">
        <f>IF(C119="BC",'Mix Design'!$B$9,IF(C119="DBM",'Mix Design'!$C$9,""))</f>
        <v/>
      </c>
      <c r="M119" s="10" t="str">
        <f>IF(C119="BC",Inputs!$C$17,IF(C119="DBM",Inputs!$C$18,""))</f>
        <v/>
      </c>
      <c r="N119" s="10" t="e">
        <f t="shared" si="45"/>
        <v>#VALUE!</v>
      </c>
      <c r="O119" s="10" t="e">
        <f t="shared" si="46"/>
        <v>#VALUE!</v>
      </c>
      <c r="P119" s="10" t="e">
        <f t="shared" si="47"/>
        <v>#VALUE!</v>
      </c>
      <c r="Q119" s="23" t="e">
        <f>IF(AND(P119&gt;0,Inputs!$C$6&gt;0),P119/Inputs!$C$6*Inputs!$C$7,"")</f>
        <v>#VALUE!</v>
      </c>
      <c r="R119" s="23" t="str">
        <f>IF(C119="BC",'Rate Model'!$C$19,IF(C119="DBM",'Rate Model'!$E$19,""))</f>
        <v/>
      </c>
      <c r="S119" s="11" t="e">
        <f t="shared" si="48"/>
        <v>#VALUE!</v>
      </c>
      <c r="T119" s="11" t="str">
        <f>IF(A119&lt;&gt;"",Inputs!$C$47,"")</f>
        <v/>
      </c>
      <c r="U119" s="11" t="str">
        <f>IF(A119&lt;&gt;"",Inputs!$C$48,"")</f>
        <v/>
      </c>
      <c r="V119" s="11">
        <v>2</v>
      </c>
      <c r="W119" s="11" t="str">
        <f>IF(A119&lt;&gt;"",Inputs!$C$49,"")</f>
        <v/>
      </c>
      <c r="X119" s="23">
        <v>0</v>
      </c>
      <c r="Y119" s="23" t="e">
        <f t="shared" si="49"/>
        <v>#VALUE!</v>
      </c>
      <c r="Z119" s="23" t="e">
        <f t="shared" si="50"/>
        <v>#VALUE!</v>
      </c>
      <c r="AA119" s="5" t="str">
        <f>IF(A119&lt;&gt;"",Inputs!$C$57,"")</f>
        <v/>
      </c>
      <c r="AB119" s="6" t="e">
        <f t="shared" si="51"/>
        <v>#VALUE!</v>
      </c>
      <c r="AC119" s="6"/>
      <c r="AD119" s="23"/>
      <c r="AE119" s="23">
        <f>IF(AND(J119&gt;0,AC119&gt;0),J119*AC119*Inputs!$C$71,0)</f>
        <v>0</v>
      </c>
      <c r="AF119" s="23">
        <f>IF(AND(J119&gt;0,AD119&gt;0),J119*AD119*Inputs!$C$72,0)</f>
        <v>0</v>
      </c>
      <c r="AG119" s="23" t="e">
        <f t="shared" si="52"/>
        <v>#VALUE!</v>
      </c>
      <c r="AH119" s="23" t="e">
        <f t="shared" si="53"/>
        <v>#VALUE!</v>
      </c>
      <c r="AI119" s="23" t="e">
        <f t="shared" si="54"/>
        <v>#VALUE!</v>
      </c>
      <c r="AJ119" s="23" t="e">
        <f t="shared" si="55"/>
        <v>#VALUE!</v>
      </c>
    </row>
    <row r="120" spans="1:36" x14ac:dyDescent="0.2">
      <c r="A120" s="6"/>
      <c r="B120" s="6"/>
      <c r="C120" s="6"/>
      <c r="D120" s="6"/>
      <c r="E120" s="11"/>
      <c r="F120" s="11"/>
      <c r="G120" s="11"/>
      <c r="H120" s="11"/>
      <c r="I120" s="10" t="str">
        <f t="shared" si="42"/>
        <v/>
      </c>
      <c r="J120" s="10" t="str">
        <f t="shared" si="43"/>
        <v/>
      </c>
      <c r="K120" s="14" t="str">
        <f t="shared" si="44"/>
        <v/>
      </c>
      <c r="L120" s="10" t="str">
        <f>IF(C120="BC",'Mix Design'!$B$9,IF(C120="DBM",'Mix Design'!$C$9,""))</f>
        <v/>
      </c>
      <c r="M120" s="10" t="str">
        <f>IF(C120="BC",Inputs!$C$17,IF(C120="DBM",Inputs!$C$18,""))</f>
        <v/>
      </c>
      <c r="N120" s="10" t="e">
        <f t="shared" si="45"/>
        <v>#VALUE!</v>
      </c>
      <c r="O120" s="10" t="e">
        <f t="shared" si="46"/>
        <v>#VALUE!</v>
      </c>
      <c r="P120" s="10" t="e">
        <f t="shared" si="47"/>
        <v>#VALUE!</v>
      </c>
      <c r="Q120" s="23" t="e">
        <f>IF(AND(P120&gt;0,Inputs!$C$6&gt;0),P120/Inputs!$C$6*Inputs!$C$7,"")</f>
        <v>#VALUE!</v>
      </c>
      <c r="R120" s="23" t="str">
        <f>IF(C120="BC",'Rate Model'!$C$19,IF(C120="DBM",'Rate Model'!$E$19,""))</f>
        <v/>
      </c>
      <c r="S120" s="11" t="e">
        <f t="shared" si="48"/>
        <v>#VALUE!</v>
      </c>
      <c r="T120" s="11" t="str">
        <f>IF(A120&lt;&gt;"",Inputs!$C$47,"")</f>
        <v/>
      </c>
      <c r="U120" s="11" t="str">
        <f>IF(A120&lt;&gt;"",Inputs!$C$48,"")</f>
        <v/>
      </c>
      <c r="V120" s="11">
        <v>2</v>
      </c>
      <c r="W120" s="11" t="str">
        <f>IF(A120&lt;&gt;"",Inputs!$C$49,"")</f>
        <v/>
      </c>
      <c r="X120" s="23">
        <v>0</v>
      </c>
      <c r="Y120" s="23" t="e">
        <f t="shared" si="49"/>
        <v>#VALUE!</v>
      </c>
      <c r="Z120" s="23" t="e">
        <f t="shared" si="50"/>
        <v>#VALUE!</v>
      </c>
      <c r="AA120" s="5" t="str">
        <f>IF(A120&lt;&gt;"",Inputs!$C$57,"")</f>
        <v/>
      </c>
      <c r="AB120" s="6" t="e">
        <f t="shared" si="51"/>
        <v>#VALUE!</v>
      </c>
      <c r="AC120" s="6"/>
      <c r="AD120" s="23"/>
      <c r="AE120" s="23">
        <f>IF(AND(J120&gt;0,AC120&gt;0),J120*AC120*Inputs!$C$71,0)</f>
        <v>0</v>
      </c>
      <c r="AF120" s="23">
        <f>IF(AND(J120&gt;0,AD120&gt;0),J120*AD120*Inputs!$C$72,0)</f>
        <v>0</v>
      </c>
      <c r="AG120" s="23" t="e">
        <f t="shared" si="52"/>
        <v>#VALUE!</v>
      </c>
      <c r="AH120" s="23" t="e">
        <f t="shared" si="53"/>
        <v>#VALUE!</v>
      </c>
      <c r="AI120" s="23" t="e">
        <f t="shared" si="54"/>
        <v>#VALUE!</v>
      </c>
      <c r="AJ120" s="23" t="e">
        <f t="shared" si="55"/>
        <v>#VALUE!</v>
      </c>
    </row>
    <row r="121" spans="1:36" x14ac:dyDescent="0.2">
      <c r="A121" s="6"/>
      <c r="B121" s="6"/>
      <c r="C121" s="6"/>
      <c r="D121" s="6"/>
      <c r="E121" s="11"/>
      <c r="F121" s="11"/>
      <c r="G121" s="11"/>
      <c r="H121" s="11"/>
      <c r="I121" s="10" t="str">
        <f t="shared" si="42"/>
        <v/>
      </c>
      <c r="J121" s="10" t="str">
        <f t="shared" si="43"/>
        <v/>
      </c>
      <c r="K121" s="14" t="str">
        <f t="shared" si="44"/>
        <v/>
      </c>
      <c r="L121" s="10" t="str">
        <f>IF(C121="BC",'Mix Design'!$B$9,IF(C121="DBM",'Mix Design'!$C$9,""))</f>
        <v/>
      </c>
      <c r="M121" s="10" t="str">
        <f>IF(C121="BC",Inputs!$C$17,IF(C121="DBM",Inputs!$C$18,""))</f>
        <v/>
      </c>
      <c r="N121" s="10" t="e">
        <f t="shared" si="45"/>
        <v>#VALUE!</v>
      </c>
      <c r="O121" s="10" t="e">
        <f t="shared" si="46"/>
        <v>#VALUE!</v>
      </c>
      <c r="P121" s="10" t="e">
        <f t="shared" si="47"/>
        <v>#VALUE!</v>
      </c>
      <c r="Q121" s="23" t="e">
        <f>IF(AND(P121&gt;0,Inputs!$C$6&gt;0),P121/Inputs!$C$6*Inputs!$C$7,"")</f>
        <v>#VALUE!</v>
      </c>
      <c r="R121" s="23" t="str">
        <f>IF(C121="BC",'Rate Model'!$C$19,IF(C121="DBM",'Rate Model'!$E$19,""))</f>
        <v/>
      </c>
      <c r="S121" s="11" t="e">
        <f t="shared" si="48"/>
        <v>#VALUE!</v>
      </c>
      <c r="T121" s="11" t="str">
        <f>IF(A121&lt;&gt;"",Inputs!$C$47,"")</f>
        <v/>
      </c>
      <c r="U121" s="11" t="str">
        <f>IF(A121&lt;&gt;"",Inputs!$C$48,"")</f>
        <v/>
      </c>
      <c r="V121" s="11">
        <v>2</v>
      </c>
      <c r="W121" s="11" t="str">
        <f>IF(A121&lt;&gt;"",Inputs!$C$49,"")</f>
        <v/>
      </c>
      <c r="X121" s="23">
        <v>0</v>
      </c>
      <c r="Y121" s="23" t="e">
        <f t="shared" si="49"/>
        <v>#VALUE!</v>
      </c>
      <c r="Z121" s="23" t="e">
        <f t="shared" si="50"/>
        <v>#VALUE!</v>
      </c>
      <c r="AA121" s="5" t="str">
        <f>IF(A121&lt;&gt;"",Inputs!$C$57,"")</f>
        <v/>
      </c>
      <c r="AB121" s="6" t="e">
        <f t="shared" si="51"/>
        <v>#VALUE!</v>
      </c>
      <c r="AC121" s="6"/>
      <c r="AD121" s="23"/>
      <c r="AE121" s="23">
        <f>IF(AND(J121&gt;0,AC121&gt;0),J121*AC121*Inputs!$C$71,0)</f>
        <v>0</v>
      </c>
      <c r="AF121" s="23">
        <f>IF(AND(J121&gt;0,AD121&gt;0),J121*AD121*Inputs!$C$72,0)</f>
        <v>0</v>
      </c>
      <c r="AG121" s="23" t="e">
        <f t="shared" si="52"/>
        <v>#VALUE!</v>
      </c>
      <c r="AH121" s="23" t="e">
        <f t="shared" si="53"/>
        <v>#VALUE!</v>
      </c>
      <c r="AI121" s="23" t="e">
        <f t="shared" si="54"/>
        <v>#VALUE!</v>
      </c>
      <c r="AJ121" s="23" t="e">
        <f t="shared" si="55"/>
        <v>#VALUE!</v>
      </c>
    </row>
    <row r="122" spans="1:36" x14ac:dyDescent="0.2">
      <c r="A122" s="6"/>
      <c r="B122" s="6"/>
      <c r="C122" s="6"/>
      <c r="D122" s="6"/>
      <c r="E122" s="11"/>
      <c r="F122" s="11"/>
      <c r="G122" s="11"/>
      <c r="H122" s="11"/>
      <c r="I122" s="10" t="str">
        <f t="shared" si="42"/>
        <v/>
      </c>
      <c r="J122" s="10" t="str">
        <f t="shared" si="43"/>
        <v/>
      </c>
      <c r="K122" s="14" t="str">
        <f t="shared" si="44"/>
        <v/>
      </c>
      <c r="L122" s="10" t="str">
        <f>IF(C122="BC",'Mix Design'!$B$9,IF(C122="DBM",'Mix Design'!$C$9,""))</f>
        <v/>
      </c>
      <c r="M122" s="10" t="str">
        <f>IF(C122="BC",Inputs!$C$17,IF(C122="DBM",Inputs!$C$18,""))</f>
        <v/>
      </c>
      <c r="N122" s="10" t="e">
        <f t="shared" si="45"/>
        <v>#VALUE!</v>
      </c>
      <c r="O122" s="10" t="e">
        <f t="shared" si="46"/>
        <v>#VALUE!</v>
      </c>
      <c r="P122" s="10" t="e">
        <f t="shared" si="47"/>
        <v>#VALUE!</v>
      </c>
      <c r="Q122" s="23" t="e">
        <f>IF(AND(P122&gt;0,Inputs!$C$6&gt;0),P122/Inputs!$C$6*Inputs!$C$7,"")</f>
        <v>#VALUE!</v>
      </c>
      <c r="R122" s="23" t="str">
        <f>IF(C122="BC",'Rate Model'!$C$19,IF(C122="DBM",'Rate Model'!$E$19,""))</f>
        <v/>
      </c>
      <c r="S122" s="11" t="e">
        <f t="shared" si="48"/>
        <v>#VALUE!</v>
      </c>
      <c r="T122" s="11" t="str">
        <f>IF(A122&lt;&gt;"",Inputs!$C$47,"")</f>
        <v/>
      </c>
      <c r="U122" s="11" t="str">
        <f>IF(A122&lt;&gt;"",Inputs!$C$48,"")</f>
        <v/>
      </c>
      <c r="V122" s="11">
        <v>2</v>
      </c>
      <c r="W122" s="11" t="str">
        <f>IF(A122&lt;&gt;"",Inputs!$C$49,"")</f>
        <v/>
      </c>
      <c r="X122" s="23">
        <v>0</v>
      </c>
      <c r="Y122" s="23" t="e">
        <f t="shared" si="49"/>
        <v>#VALUE!</v>
      </c>
      <c r="Z122" s="23" t="e">
        <f t="shared" si="50"/>
        <v>#VALUE!</v>
      </c>
      <c r="AA122" s="5" t="str">
        <f>IF(A122&lt;&gt;"",Inputs!$C$57,"")</f>
        <v/>
      </c>
      <c r="AB122" s="6" t="e">
        <f t="shared" si="51"/>
        <v>#VALUE!</v>
      </c>
      <c r="AC122" s="6"/>
      <c r="AD122" s="23"/>
      <c r="AE122" s="23">
        <f>IF(AND(J122&gt;0,AC122&gt;0),J122*AC122*Inputs!$C$71,0)</f>
        <v>0</v>
      </c>
      <c r="AF122" s="23">
        <f>IF(AND(J122&gt;0,AD122&gt;0),J122*AD122*Inputs!$C$72,0)</f>
        <v>0</v>
      </c>
      <c r="AG122" s="23" t="e">
        <f t="shared" si="52"/>
        <v>#VALUE!</v>
      </c>
      <c r="AH122" s="23" t="e">
        <f t="shared" si="53"/>
        <v>#VALUE!</v>
      </c>
      <c r="AI122" s="23" t="e">
        <f t="shared" si="54"/>
        <v>#VALUE!</v>
      </c>
      <c r="AJ122" s="23" t="e">
        <f t="shared" si="55"/>
        <v>#VALUE!</v>
      </c>
    </row>
    <row r="123" spans="1:36" x14ac:dyDescent="0.2">
      <c r="A123" s="6"/>
      <c r="B123" s="6"/>
      <c r="C123" s="6"/>
      <c r="D123" s="6"/>
      <c r="E123" s="11"/>
      <c r="F123" s="11"/>
      <c r="G123" s="11"/>
      <c r="H123" s="11"/>
      <c r="I123" s="10" t="str">
        <f t="shared" si="42"/>
        <v/>
      </c>
      <c r="J123" s="10" t="str">
        <f t="shared" si="43"/>
        <v/>
      </c>
      <c r="K123" s="14" t="str">
        <f t="shared" si="44"/>
        <v/>
      </c>
      <c r="L123" s="10" t="str">
        <f>IF(C123="BC",'Mix Design'!$B$9,IF(C123="DBM",'Mix Design'!$C$9,""))</f>
        <v/>
      </c>
      <c r="M123" s="10" t="str">
        <f>IF(C123="BC",Inputs!$C$17,IF(C123="DBM",Inputs!$C$18,""))</f>
        <v/>
      </c>
      <c r="N123" s="10" t="e">
        <f t="shared" si="45"/>
        <v>#VALUE!</v>
      </c>
      <c r="O123" s="10" t="e">
        <f t="shared" si="46"/>
        <v>#VALUE!</v>
      </c>
      <c r="P123" s="10" t="e">
        <f t="shared" si="47"/>
        <v>#VALUE!</v>
      </c>
      <c r="Q123" s="23" t="e">
        <f>IF(AND(P123&gt;0,Inputs!$C$6&gt;0),P123/Inputs!$C$6*Inputs!$C$7,"")</f>
        <v>#VALUE!</v>
      </c>
      <c r="R123" s="23" t="str">
        <f>IF(C123="BC",'Rate Model'!$C$19,IF(C123="DBM",'Rate Model'!$E$19,""))</f>
        <v/>
      </c>
      <c r="S123" s="11" t="e">
        <f t="shared" si="48"/>
        <v>#VALUE!</v>
      </c>
      <c r="T123" s="11" t="str">
        <f>IF(A123&lt;&gt;"",Inputs!$C$47,"")</f>
        <v/>
      </c>
      <c r="U123" s="11" t="str">
        <f>IF(A123&lt;&gt;"",Inputs!$C$48,"")</f>
        <v/>
      </c>
      <c r="V123" s="11">
        <v>2</v>
      </c>
      <c r="W123" s="11" t="str">
        <f>IF(A123&lt;&gt;"",Inputs!$C$49,"")</f>
        <v/>
      </c>
      <c r="X123" s="23">
        <v>0</v>
      </c>
      <c r="Y123" s="23" t="e">
        <f t="shared" si="49"/>
        <v>#VALUE!</v>
      </c>
      <c r="Z123" s="23" t="e">
        <f t="shared" si="50"/>
        <v>#VALUE!</v>
      </c>
      <c r="AA123" s="5" t="str">
        <f>IF(A123&lt;&gt;"",Inputs!$C$57,"")</f>
        <v/>
      </c>
      <c r="AB123" s="6" t="e">
        <f t="shared" si="51"/>
        <v>#VALUE!</v>
      </c>
      <c r="AC123" s="6"/>
      <c r="AD123" s="23"/>
      <c r="AE123" s="23">
        <f>IF(AND(J123&gt;0,AC123&gt;0),J123*AC123*Inputs!$C$71,0)</f>
        <v>0</v>
      </c>
      <c r="AF123" s="23">
        <f>IF(AND(J123&gt;0,AD123&gt;0),J123*AD123*Inputs!$C$72,0)</f>
        <v>0</v>
      </c>
      <c r="AG123" s="23" t="e">
        <f t="shared" si="52"/>
        <v>#VALUE!</v>
      </c>
      <c r="AH123" s="23" t="e">
        <f t="shared" si="53"/>
        <v>#VALUE!</v>
      </c>
      <c r="AI123" s="23" t="e">
        <f t="shared" si="54"/>
        <v>#VALUE!</v>
      </c>
      <c r="AJ123" s="23" t="e">
        <f t="shared" si="55"/>
        <v>#VALUE!</v>
      </c>
    </row>
    <row r="124" spans="1:36" x14ac:dyDescent="0.2">
      <c r="A124" s="6"/>
      <c r="B124" s="6"/>
      <c r="C124" s="6"/>
      <c r="D124" s="6"/>
      <c r="E124" s="11"/>
      <c r="F124" s="11"/>
      <c r="G124" s="11"/>
      <c r="H124" s="11"/>
      <c r="I124" s="10" t="str">
        <f t="shared" si="42"/>
        <v/>
      </c>
      <c r="J124" s="10" t="str">
        <f t="shared" si="43"/>
        <v/>
      </c>
      <c r="K124" s="14" t="str">
        <f t="shared" si="44"/>
        <v/>
      </c>
      <c r="L124" s="10" t="str">
        <f>IF(C124="BC",'Mix Design'!$B$9,IF(C124="DBM",'Mix Design'!$C$9,""))</f>
        <v/>
      </c>
      <c r="M124" s="10" t="str">
        <f>IF(C124="BC",Inputs!$C$17,IF(C124="DBM",Inputs!$C$18,""))</f>
        <v/>
      </c>
      <c r="N124" s="10" t="e">
        <f t="shared" si="45"/>
        <v>#VALUE!</v>
      </c>
      <c r="O124" s="10" t="e">
        <f t="shared" si="46"/>
        <v>#VALUE!</v>
      </c>
      <c r="P124" s="10" t="e">
        <f t="shared" si="47"/>
        <v>#VALUE!</v>
      </c>
      <c r="Q124" s="23" t="e">
        <f>IF(AND(P124&gt;0,Inputs!$C$6&gt;0),P124/Inputs!$C$6*Inputs!$C$7,"")</f>
        <v>#VALUE!</v>
      </c>
      <c r="R124" s="23" t="str">
        <f>IF(C124="BC",'Rate Model'!$C$19,IF(C124="DBM",'Rate Model'!$E$19,""))</f>
        <v/>
      </c>
      <c r="S124" s="11" t="e">
        <f t="shared" si="48"/>
        <v>#VALUE!</v>
      </c>
      <c r="T124" s="11" t="str">
        <f>IF(A124&lt;&gt;"",Inputs!$C$47,"")</f>
        <v/>
      </c>
      <c r="U124" s="11" t="str">
        <f>IF(A124&lt;&gt;"",Inputs!$C$48,"")</f>
        <v/>
      </c>
      <c r="V124" s="11">
        <v>2</v>
      </c>
      <c r="W124" s="11" t="str">
        <f>IF(A124&lt;&gt;"",Inputs!$C$49,"")</f>
        <v/>
      </c>
      <c r="X124" s="23">
        <v>0</v>
      </c>
      <c r="Y124" s="23" t="e">
        <f t="shared" si="49"/>
        <v>#VALUE!</v>
      </c>
      <c r="Z124" s="23" t="e">
        <f t="shared" si="50"/>
        <v>#VALUE!</v>
      </c>
      <c r="AA124" s="5" t="str">
        <f>IF(A124&lt;&gt;"",Inputs!$C$57,"")</f>
        <v/>
      </c>
      <c r="AB124" s="6" t="e">
        <f t="shared" si="51"/>
        <v>#VALUE!</v>
      </c>
      <c r="AC124" s="6"/>
      <c r="AD124" s="23"/>
      <c r="AE124" s="23">
        <f>IF(AND(J124&gt;0,AC124&gt;0),J124*AC124*Inputs!$C$71,0)</f>
        <v>0</v>
      </c>
      <c r="AF124" s="23">
        <f>IF(AND(J124&gt;0,AD124&gt;0),J124*AD124*Inputs!$C$72,0)</f>
        <v>0</v>
      </c>
      <c r="AG124" s="23" t="e">
        <f t="shared" si="52"/>
        <v>#VALUE!</v>
      </c>
      <c r="AH124" s="23" t="e">
        <f t="shared" si="53"/>
        <v>#VALUE!</v>
      </c>
      <c r="AI124" s="23" t="e">
        <f t="shared" si="54"/>
        <v>#VALUE!</v>
      </c>
      <c r="AJ124" s="23" t="e">
        <f t="shared" si="55"/>
        <v>#VALUE!</v>
      </c>
    </row>
    <row r="125" spans="1:36" x14ac:dyDescent="0.2">
      <c r="A125" s="6"/>
      <c r="B125" s="6"/>
      <c r="C125" s="6"/>
      <c r="D125" s="6"/>
      <c r="E125" s="11"/>
      <c r="F125" s="11"/>
      <c r="G125" s="11"/>
      <c r="H125" s="11"/>
      <c r="I125" s="10" t="str">
        <f t="shared" si="42"/>
        <v/>
      </c>
      <c r="J125" s="10" t="str">
        <f t="shared" si="43"/>
        <v/>
      </c>
      <c r="K125" s="14" t="str">
        <f t="shared" si="44"/>
        <v/>
      </c>
      <c r="L125" s="10" t="str">
        <f>IF(C125="BC",'Mix Design'!$B$9,IF(C125="DBM",'Mix Design'!$C$9,""))</f>
        <v/>
      </c>
      <c r="M125" s="10" t="str">
        <f>IF(C125="BC",Inputs!$C$17,IF(C125="DBM",Inputs!$C$18,""))</f>
        <v/>
      </c>
      <c r="N125" s="10" t="e">
        <f t="shared" si="45"/>
        <v>#VALUE!</v>
      </c>
      <c r="O125" s="10" t="e">
        <f t="shared" si="46"/>
        <v>#VALUE!</v>
      </c>
      <c r="P125" s="10" t="e">
        <f t="shared" si="47"/>
        <v>#VALUE!</v>
      </c>
      <c r="Q125" s="23" t="e">
        <f>IF(AND(P125&gt;0,Inputs!$C$6&gt;0),P125/Inputs!$C$6*Inputs!$C$7,"")</f>
        <v>#VALUE!</v>
      </c>
      <c r="R125" s="23" t="str">
        <f>IF(C125="BC",'Rate Model'!$C$19,IF(C125="DBM",'Rate Model'!$E$19,""))</f>
        <v/>
      </c>
      <c r="S125" s="11" t="e">
        <f t="shared" si="48"/>
        <v>#VALUE!</v>
      </c>
      <c r="T125" s="11" t="str">
        <f>IF(A125&lt;&gt;"",Inputs!$C$47,"")</f>
        <v/>
      </c>
      <c r="U125" s="11" t="str">
        <f>IF(A125&lt;&gt;"",Inputs!$C$48,"")</f>
        <v/>
      </c>
      <c r="V125" s="11">
        <v>2</v>
      </c>
      <c r="W125" s="11" t="str">
        <f>IF(A125&lt;&gt;"",Inputs!$C$49,"")</f>
        <v/>
      </c>
      <c r="X125" s="23">
        <v>0</v>
      </c>
      <c r="Y125" s="23" t="e">
        <f t="shared" si="49"/>
        <v>#VALUE!</v>
      </c>
      <c r="Z125" s="23" t="e">
        <f t="shared" si="50"/>
        <v>#VALUE!</v>
      </c>
      <c r="AA125" s="5" t="str">
        <f>IF(A125&lt;&gt;"",Inputs!$C$57,"")</f>
        <v/>
      </c>
      <c r="AB125" s="6" t="e">
        <f t="shared" si="51"/>
        <v>#VALUE!</v>
      </c>
      <c r="AC125" s="6"/>
      <c r="AD125" s="23"/>
      <c r="AE125" s="23">
        <f>IF(AND(J125&gt;0,AC125&gt;0),J125*AC125*Inputs!$C$71,0)</f>
        <v>0</v>
      </c>
      <c r="AF125" s="23">
        <f>IF(AND(J125&gt;0,AD125&gt;0),J125*AD125*Inputs!$C$72,0)</f>
        <v>0</v>
      </c>
      <c r="AG125" s="23" t="e">
        <f t="shared" si="52"/>
        <v>#VALUE!</v>
      </c>
      <c r="AH125" s="23" t="e">
        <f t="shared" si="53"/>
        <v>#VALUE!</v>
      </c>
      <c r="AI125" s="23" t="e">
        <f t="shared" si="54"/>
        <v>#VALUE!</v>
      </c>
      <c r="AJ125" s="23" t="e">
        <f t="shared" si="55"/>
        <v>#VALUE!</v>
      </c>
    </row>
    <row r="126" spans="1:36" x14ac:dyDescent="0.2">
      <c r="A126" s="6"/>
      <c r="B126" s="6"/>
      <c r="C126" s="6"/>
      <c r="D126" s="6"/>
      <c r="E126" s="11"/>
      <c r="F126" s="11"/>
      <c r="G126" s="11"/>
      <c r="H126" s="11"/>
      <c r="I126" s="10" t="str">
        <f t="shared" si="42"/>
        <v/>
      </c>
      <c r="J126" s="10" t="str">
        <f t="shared" si="43"/>
        <v/>
      </c>
      <c r="K126" s="14" t="str">
        <f t="shared" si="44"/>
        <v/>
      </c>
      <c r="L126" s="10" t="str">
        <f>IF(C126="BC",'Mix Design'!$B$9,IF(C126="DBM",'Mix Design'!$C$9,""))</f>
        <v/>
      </c>
      <c r="M126" s="10" t="str">
        <f>IF(C126="BC",Inputs!$C$17,IF(C126="DBM",Inputs!$C$18,""))</f>
        <v/>
      </c>
      <c r="N126" s="10" t="e">
        <f t="shared" si="45"/>
        <v>#VALUE!</v>
      </c>
      <c r="O126" s="10" t="e">
        <f t="shared" si="46"/>
        <v>#VALUE!</v>
      </c>
      <c r="P126" s="10" t="e">
        <f t="shared" si="47"/>
        <v>#VALUE!</v>
      </c>
      <c r="Q126" s="23" t="e">
        <f>IF(AND(P126&gt;0,Inputs!$C$6&gt;0),P126/Inputs!$C$6*Inputs!$C$7,"")</f>
        <v>#VALUE!</v>
      </c>
      <c r="R126" s="23" t="str">
        <f>IF(C126="BC",'Rate Model'!$C$19,IF(C126="DBM",'Rate Model'!$E$19,""))</f>
        <v/>
      </c>
      <c r="S126" s="11" t="e">
        <f t="shared" si="48"/>
        <v>#VALUE!</v>
      </c>
      <c r="T126" s="11" t="str">
        <f>IF(A126&lt;&gt;"",Inputs!$C$47,"")</f>
        <v/>
      </c>
      <c r="U126" s="11" t="str">
        <f>IF(A126&lt;&gt;"",Inputs!$C$48,"")</f>
        <v/>
      </c>
      <c r="V126" s="11">
        <v>2</v>
      </c>
      <c r="W126" s="11" t="str">
        <f>IF(A126&lt;&gt;"",Inputs!$C$49,"")</f>
        <v/>
      </c>
      <c r="X126" s="23">
        <v>0</v>
      </c>
      <c r="Y126" s="23" t="e">
        <f t="shared" si="49"/>
        <v>#VALUE!</v>
      </c>
      <c r="Z126" s="23" t="e">
        <f t="shared" si="50"/>
        <v>#VALUE!</v>
      </c>
      <c r="AA126" s="5" t="str">
        <f>IF(A126&lt;&gt;"",Inputs!$C$57,"")</f>
        <v/>
      </c>
      <c r="AB126" s="6" t="e">
        <f t="shared" si="51"/>
        <v>#VALUE!</v>
      </c>
      <c r="AC126" s="6"/>
      <c r="AD126" s="23"/>
      <c r="AE126" s="23">
        <f>IF(AND(J126&gt;0,AC126&gt;0),J126*AC126*Inputs!$C$71,0)</f>
        <v>0</v>
      </c>
      <c r="AF126" s="23">
        <f>IF(AND(J126&gt;0,AD126&gt;0),J126*AD126*Inputs!$C$72,0)</f>
        <v>0</v>
      </c>
      <c r="AG126" s="23" t="e">
        <f t="shared" si="52"/>
        <v>#VALUE!</v>
      </c>
      <c r="AH126" s="23" t="e">
        <f t="shared" si="53"/>
        <v>#VALUE!</v>
      </c>
      <c r="AI126" s="23" t="e">
        <f t="shared" si="54"/>
        <v>#VALUE!</v>
      </c>
      <c r="AJ126" s="23" t="e">
        <f t="shared" si="55"/>
        <v>#VALUE!</v>
      </c>
    </row>
    <row r="127" spans="1:36" x14ac:dyDescent="0.2">
      <c r="A127" s="6"/>
      <c r="B127" s="6"/>
      <c r="C127" s="6"/>
      <c r="D127" s="6"/>
      <c r="E127" s="11"/>
      <c r="F127" s="11"/>
      <c r="G127" s="11"/>
      <c r="H127" s="11"/>
      <c r="I127" s="10" t="str">
        <f t="shared" si="42"/>
        <v/>
      </c>
      <c r="J127" s="10" t="str">
        <f t="shared" si="43"/>
        <v/>
      </c>
      <c r="K127" s="14" t="str">
        <f t="shared" si="44"/>
        <v/>
      </c>
      <c r="L127" s="10" t="str">
        <f>IF(C127="BC",'Mix Design'!$B$9,IF(C127="DBM",'Mix Design'!$C$9,""))</f>
        <v/>
      </c>
      <c r="M127" s="10" t="str">
        <f>IF(C127="BC",Inputs!$C$17,IF(C127="DBM",Inputs!$C$18,""))</f>
        <v/>
      </c>
      <c r="N127" s="10" t="e">
        <f t="shared" si="45"/>
        <v>#VALUE!</v>
      </c>
      <c r="O127" s="10" t="e">
        <f t="shared" si="46"/>
        <v>#VALUE!</v>
      </c>
      <c r="P127" s="10" t="e">
        <f t="shared" si="47"/>
        <v>#VALUE!</v>
      </c>
      <c r="Q127" s="23" t="e">
        <f>IF(AND(P127&gt;0,Inputs!$C$6&gt;0),P127/Inputs!$C$6*Inputs!$C$7,"")</f>
        <v>#VALUE!</v>
      </c>
      <c r="R127" s="23" t="str">
        <f>IF(C127="BC",'Rate Model'!$C$19,IF(C127="DBM",'Rate Model'!$E$19,""))</f>
        <v/>
      </c>
      <c r="S127" s="11" t="e">
        <f t="shared" si="48"/>
        <v>#VALUE!</v>
      </c>
      <c r="T127" s="11" t="str">
        <f>IF(A127&lt;&gt;"",Inputs!$C$47,"")</f>
        <v/>
      </c>
      <c r="U127" s="11" t="str">
        <f>IF(A127&lt;&gt;"",Inputs!$C$48,"")</f>
        <v/>
      </c>
      <c r="V127" s="11">
        <v>2</v>
      </c>
      <c r="W127" s="11" t="str">
        <f>IF(A127&lt;&gt;"",Inputs!$C$49,"")</f>
        <v/>
      </c>
      <c r="X127" s="23">
        <v>0</v>
      </c>
      <c r="Y127" s="23" t="e">
        <f t="shared" si="49"/>
        <v>#VALUE!</v>
      </c>
      <c r="Z127" s="23" t="e">
        <f t="shared" si="50"/>
        <v>#VALUE!</v>
      </c>
      <c r="AA127" s="5" t="str">
        <f>IF(A127&lt;&gt;"",Inputs!$C$57,"")</f>
        <v/>
      </c>
      <c r="AB127" s="6" t="e">
        <f t="shared" si="51"/>
        <v>#VALUE!</v>
      </c>
      <c r="AC127" s="6"/>
      <c r="AD127" s="23"/>
      <c r="AE127" s="23">
        <f>IF(AND(J127&gt;0,AC127&gt;0),J127*AC127*Inputs!$C$71,0)</f>
        <v>0</v>
      </c>
      <c r="AF127" s="23">
        <f>IF(AND(J127&gt;0,AD127&gt;0),J127*AD127*Inputs!$C$72,0)</f>
        <v>0</v>
      </c>
      <c r="AG127" s="23" t="e">
        <f t="shared" si="52"/>
        <v>#VALUE!</v>
      </c>
      <c r="AH127" s="23" t="e">
        <f t="shared" si="53"/>
        <v>#VALUE!</v>
      </c>
      <c r="AI127" s="23" t="e">
        <f t="shared" si="54"/>
        <v>#VALUE!</v>
      </c>
      <c r="AJ127" s="23" t="e">
        <f t="shared" si="55"/>
        <v>#VALUE!</v>
      </c>
    </row>
    <row r="128" spans="1:36" x14ac:dyDescent="0.2">
      <c r="A128" s="6"/>
      <c r="B128" s="6"/>
      <c r="C128" s="6"/>
      <c r="D128" s="6"/>
      <c r="E128" s="11"/>
      <c r="F128" s="11"/>
      <c r="G128" s="11"/>
      <c r="H128" s="11"/>
      <c r="I128" s="10" t="str">
        <f t="shared" si="42"/>
        <v/>
      </c>
      <c r="J128" s="10" t="str">
        <f t="shared" si="43"/>
        <v/>
      </c>
      <c r="K128" s="14" t="str">
        <f t="shared" si="44"/>
        <v/>
      </c>
      <c r="L128" s="10" t="str">
        <f>IF(C128="BC",'Mix Design'!$B$9,IF(C128="DBM",'Mix Design'!$C$9,""))</f>
        <v/>
      </c>
      <c r="M128" s="10" t="str">
        <f>IF(C128="BC",Inputs!$C$17,IF(C128="DBM",Inputs!$C$18,""))</f>
        <v/>
      </c>
      <c r="N128" s="10" t="e">
        <f t="shared" si="45"/>
        <v>#VALUE!</v>
      </c>
      <c r="O128" s="10" t="e">
        <f t="shared" si="46"/>
        <v>#VALUE!</v>
      </c>
      <c r="P128" s="10" t="e">
        <f t="shared" si="47"/>
        <v>#VALUE!</v>
      </c>
      <c r="Q128" s="23" t="e">
        <f>IF(AND(P128&gt;0,Inputs!$C$6&gt;0),P128/Inputs!$C$6*Inputs!$C$7,"")</f>
        <v>#VALUE!</v>
      </c>
      <c r="R128" s="23" t="str">
        <f>IF(C128="BC",'Rate Model'!$C$19,IF(C128="DBM",'Rate Model'!$E$19,""))</f>
        <v/>
      </c>
      <c r="S128" s="11" t="e">
        <f t="shared" si="48"/>
        <v>#VALUE!</v>
      </c>
      <c r="T128" s="11" t="str">
        <f>IF(A128&lt;&gt;"",Inputs!$C$47,"")</f>
        <v/>
      </c>
      <c r="U128" s="11" t="str">
        <f>IF(A128&lt;&gt;"",Inputs!$C$48,"")</f>
        <v/>
      </c>
      <c r="V128" s="11">
        <v>2</v>
      </c>
      <c r="W128" s="11" t="str">
        <f>IF(A128&lt;&gt;"",Inputs!$C$49,"")</f>
        <v/>
      </c>
      <c r="X128" s="23">
        <v>0</v>
      </c>
      <c r="Y128" s="23" t="e">
        <f t="shared" si="49"/>
        <v>#VALUE!</v>
      </c>
      <c r="Z128" s="23" t="e">
        <f t="shared" si="50"/>
        <v>#VALUE!</v>
      </c>
      <c r="AA128" s="5" t="str">
        <f>IF(A128&lt;&gt;"",Inputs!$C$57,"")</f>
        <v/>
      </c>
      <c r="AB128" s="6" t="e">
        <f t="shared" si="51"/>
        <v>#VALUE!</v>
      </c>
      <c r="AC128" s="6"/>
      <c r="AD128" s="23"/>
      <c r="AE128" s="23">
        <f>IF(AND(J128&gt;0,AC128&gt;0),J128*AC128*Inputs!$C$71,0)</f>
        <v>0</v>
      </c>
      <c r="AF128" s="23">
        <f>IF(AND(J128&gt;0,AD128&gt;0),J128*AD128*Inputs!$C$72,0)</f>
        <v>0</v>
      </c>
      <c r="AG128" s="23" t="e">
        <f t="shared" si="52"/>
        <v>#VALUE!</v>
      </c>
      <c r="AH128" s="23" t="e">
        <f t="shared" si="53"/>
        <v>#VALUE!</v>
      </c>
      <c r="AI128" s="23" t="e">
        <f t="shared" si="54"/>
        <v>#VALUE!</v>
      </c>
      <c r="AJ128" s="23" t="e">
        <f t="shared" si="55"/>
        <v>#VALUE!</v>
      </c>
    </row>
    <row r="129" spans="1:36" x14ac:dyDescent="0.2">
      <c r="A129" s="6"/>
      <c r="B129" s="6"/>
      <c r="C129" s="6"/>
      <c r="D129" s="6"/>
      <c r="E129" s="11"/>
      <c r="F129" s="11"/>
      <c r="G129" s="11"/>
      <c r="H129" s="11"/>
      <c r="I129" s="10" t="str">
        <f t="shared" si="42"/>
        <v/>
      </c>
      <c r="J129" s="10" t="str">
        <f t="shared" si="43"/>
        <v/>
      </c>
      <c r="K129" s="14" t="str">
        <f t="shared" si="44"/>
        <v/>
      </c>
      <c r="L129" s="10" t="str">
        <f>IF(C129="BC",'Mix Design'!$B$9,IF(C129="DBM",'Mix Design'!$C$9,""))</f>
        <v/>
      </c>
      <c r="M129" s="10" t="str">
        <f>IF(C129="BC",Inputs!$C$17,IF(C129="DBM",Inputs!$C$18,""))</f>
        <v/>
      </c>
      <c r="N129" s="10" t="e">
        <f t="shared" si="45"/>
        <v>#VALUE!</v>
      </c>
      <c r="O129" s="10" t="e">
        <f t="shared" si="46"/>
        <v>#VALUE!</v>
      </c>
      <c r="P129" s="10" t="e">
        <f t="shared" si="47"/>
        <v>#VALUE!</v>
      </c>
      <c r="Q129" s="23" t="e">
        <f>IF(AND(P129&gt;0,Inputs!$C$6&gt;0),P129/Inputs!$C$6*Inputs!$C$7,"")</f>
        <v>#VALUE!</v>
      </c>
      <c r="R129" s="23" t="str">
        <f>IF(C129="BC",'Rate Model'!$C$19,IF(C129="DBM",'Rate Model'!$E$19,""))</f>
        <v/>
      </c>
      <c r="S129" s="11" t="e">
        <f t="shared" si="48"/>
        <v>#VALUE!</v>
      </c>
      <c r="T129" s="11" t="str">
        <f>IF(A129&lt;&gt;"",Inputs!$C$47,"")</f>
        <v/>
      </c>
      <c r="U129" s="11" t="str">
        <f>IF(A129&lt;&gt;"",Inputs!$C$48,"")</f>
        <v/>
      </c>
      <c r="V129" s="11">
        <v>2</v>
      </c>
      <c r="W129" s="11" t="str">
        <f>IF(A129&lt;&gt;"",Inputs!$C$49,"")</f>
        <v/>
      </c>
      <c r="X129" s="23">
        <v>0</v>
      </c>
      <c r="Y129" s="23" t="e">
        <f t="shared" si="49"/>
        <v>#VALUE!</v>
      </c>
      <c r="Z129" s="23" t="e">
        <f t="shared" si="50"/>
        <v>#VALUE!</v>
      </c>
      <c r="AA129" s="5" t="str">
        <f>IF(A129&lt;&gt;"",Inputs!$C$57,"")</f>
        <v/>
      </c>
      <c r="AB129" s="6" t="e">
        <f t="shared" si="51"/>
        <v>#VALUE!</v>
      </c>
      <c r="AC129" s="6"/>
      <c r="AD129" s="23"/>
      <c r="AE129" s="23">
        <f>IF(AND(J129&gt;0,AC129&gt;0),J129*AC129*Inputs!$C$71,0)</f>
        <v>0</v>
      </c>
      <c r="AF129" s="23">
        <f>IF(AND(J129&gt;0,AD129&gt;0),J129*AD129*Inputs!$C$72,0)</f>
        <v>0</v>
      </c>
      <c r="AG129" s="23" t="e">
        <f t="shared" si="52"/>
        <v>#VALUE!</v>
      </c>
      <c r="AH129" s="23" t="e">
        <f t="shared" si="53"/>
        <v>#VALUE!</v>
      </c>
      <c r="AI129" s="23" t="e">
        <f t="shared" si="54"/>
        <v>#VALUE!</v>
      </c>
      <c r="AJ129" s="23" t="e">
        <f t="shared" si="55"/>
        <v>#VALUE!</v>
      </c>
    </row>
    <row r="130" spans="1:36" x14ac:dyDescent="0.2">
      <c r="A130" s="6"/>
      <c r="B130" s="6"/>
      <c r="C130" s="6"/>
      <c r="D130" s="6"/>
      <c r="E130" s="11"/>
      <c r="F130" s="11"/>
      <c r="G130" s="11"/>
      <c r="H130" s="11"/>
      <c r="I130" s="10" t="str">
        <f t="shared" si="42"/>
        <v/>
      </c>
      <c r="J130" s="10" t="str">
        <f t="shared" si="43"/>
        <v/>
      </c>
      <c r="K130" s="14" t="str">
        <f t="shared" si="44"/>
        <v/>
      </c>
      <c r="L130" s="10" t="str">
        <f>IF(C130="BC",'Mix Design'!$B$9,IF(C130="DBM",'Mix Design'!$C$9,""))</f>
        <v/>
      </c>
      <c r="M130" s="10" t="str">
        <f>IF(C130="BC",Inputs!$C$17,IF(C130="DBM",Inputs!$C$18,""))</f>
        <v/>
      </c>
      <c r="N130" s="10" t="e">
        <f t="shared" si="45"/>
        <v>#VALUE!</v>
      </c>
      <c r="O130" s="10" t="e">
        <f t="shared" si="46"/>
        <v>#VALUE!</v>
      </c>
      <c r="P130" s="10" t="e">
        <f t="shared" si="47"/>
        <v>#VALUE!</v>
      </c>
      <c r="Q130" s="23" t="e">
        <f>IF(AND(P130&gt;0,Inputs!$C$6&gt;0),P130/Inputs!$C$6*Inputs!$C$7,"")</f>
        <v>#VALUE!</v>
      </c>
      <c r="R130" s="23" t="str">
        <f>IF(C130="BC",'Rate Model'!$C$19,IF(C130="DBM",'Rate Model'!$E$19,""))</f>
        <v/>
      </c>
      <c r="S130" s="11" t="e">
        <f t="shared" si="48"/>
        <v>#VALUE!</v>
      </c>
      <c r="T130" s="11" t="str">
        <f>IF(A130&lt;&gt;"",Inputs!$C$47,"")</f>
        <v/>
      </c>
      <c r="U130" s="11" t="str">
        <f>IF(A130&lt;&gt;"",Inputs!$C$48,"")</f>
        <v/>
      </c>
      <c r="V130" s="11">
        <v>2</v>
      </c>
      <c r="W130" s="11" t="str">
        <f>IF(A130&lt;&gt;"",Inputs!$C$49,"")</f>
        <v/>
      </c>
      <c r="X130" s="23">
        <v>0</v>
      </c>
      <c r="Y130" s="23" t="e">
        <f t="shared" si="49"/>
        <v>#VALUE!</v>
      </c>
      <c r="Z130" s="23" t="e">
        <f t="shared" si="50"/>
        <v>#VALUE!</v>
      </c>
      <c r="AA130" s="5" t="str">
        <f>IF(A130&lt;&gt;"",Inputs!$C$57,"")</f>
        <v/>
      </c>
      <c r="AB130" s="6" t="e">
        <f t="shared" si="51"/>
        <v>#VALUE!</v>
      </c>
      <c r="AC130" s="6"/>
      <c r="AD130" s="23"/>
      <c r="AE130" s="23">
        <f>IF(AND(J130&gt;0,AC130&gt;0),J130*AC130*Inputs!$C$71,0)</f>
        <v>0</v>
      </c>
      <c r="AF130" s="23">
        <f>IF(AND(J130&gt;0,AD130&gt;0),J130*AD130*Inputs!$C$72,0)</f>
        <v>0</v>
      </c>
      <c r="AG130" s="23" t="e">
        <f t="shared" si="52"/>
        <v>#VALUE!</v>
      </c>
      <c r="AH130" s="23" t="e">
        <f t="shared" si="53"/>
        <v>#VALUE!</v>
      </c>
      <c r="AI130" s="23" t="e">
        <f t="shared" si="54"/>
        <v>#VALUE!</v>
      </c>
      <c r="AJ130" s="23" t="e">
        <f t="shared" si="55"/>
        <v>#VALUE!</v>
      </c>
    </row>
    <row r="131" spans="1:36" x14ac:dyDescent="0.2">
      <c r="A131" s="6"/>
      <c r="B131" s="6"/>
      <c r="C131" s="6"/>
      <c r="D131" s="6"/>
      <c r="E131" s="11"/>
      <c r="F131" s="11"/>
      <c r="G131" s="11"/>
      <c r="H131" s="11"/>
      <c r="I131" s="10" t="str">
        <f t="shared" si="42"/>
        <v/>
      </c>
      <c r="J131" s="10" t="str">
        <f t="shared" si="43"/>
        <v/>
      </c>
      <c r="K131" s="14" t="str">
        <f t="shared" si="44"/>
        <v/>
      </c>
      <c r="L131" s="10" t="str">
        <f>IF(C131="BC",'Mix Design'!$B$9,IF(C131="DBM",'Mix Design'!$C$9,""))</f>
        <v/>
      </c>
      <c r="M131" s="10" t="str">
        <f>IF(C131="BC",Inputs!$C$17,IF(C131="DBM",Inputs!$C$18,""))</f>
        <v/>
      </c>
      <c r="N131" s="10" t="e">
        <f t="shared" si="45"/>
        <v>#VALUE!</v>
      </c>
      <c r="O131" s="10" t="e">
        <f t="shared" si="46"/>
        <v>#VALUE!</v>
      </c>
      <c r="P131" s="10" t="e">
        <f t="shared" si="47"/>
        <v>#VALUE!</v>
      </c>
      <c r="Q131" s="23" t="e">
        <f>IF(AND(P131&gt;0,Inputs!$C$6&gt;0),P131/Inputs!$C$6*Inputs!$C$7,"")</f>
        <v>#VALUE!</v>
      </c>
      <c r="R131" s="23" t="str">
        <f>IF(C131="BC",'Rate Model'!$C$19,IF(C131="DBM",'Rate Model'!$E$19,""))</f>
        <v/>
      </c>
      <c r="S131" s="11" t="e">
        <f t="shared" si="48"/>
        <v>#VALUE!</v>
      </c>
      <c r="T131" s="11" t="str">
        <f>IF(A131&lt;&gt;"",Inputs!$C$47,"")</f>
        <v/>
      </c>
      <c r="U131" s="11" t="str">
        <f>IF(A131&lt;&gt;"",Inputs!$C$48,"")</f>
        <v/>
      </c>
      <c r="V131" s="11">
        <v>2</v>
      </c>
      <c r="W131" s="11" t="str">
        <f>IF(A131&lt;&gt;"",Inputs!$C$49,"")</f>
        <v/>
      </c>
      <c r="X131" s="23">
        <v>0</v>
      </c>
      <c r="Y131" s="23" t="e">
        <f t="shared" si="49"/>
        <v>#VALUE!</v>
      </c>
      <c r="Z131" s="23" t="e">
        <f t="shared" si="50"/>
        <v>#VALUE!</v>
      </c>
      <c r="AA131" s="5" t="str">
        <f>IF(A131&lt;&gt;"",Inputs!$C$57,"")</f>
        <v/>
      </c>
      <c r="AB131" s="6" t="e">
        <f t="shared" si="51"/>
        <v>#VALUE!</v>
      </c>
      <c r="AC131" s="6"/>
      <c r="AD131" s="23"/>
      <c r="AE131" s="23">
        <f>IF(AND(J131&gt;0,AC131&gt;0),J131*AC131*Inputs!$C$71,0)</f>
        <v>0</v>
      </c>
      <c r="AF131" s="23">
        <f>IF(AND(J131&gt;0,AD131&gt;0),J131*AD131*Inputs!$C$72,0)</f>
        <v>0</v>
      </c>
      <c r="AG131" s="23" t="e">
        <f t="shared" si="52"/>
        <v>#VALUE!</v>
      </c>
      <c r="AH131" s="23" t="e">
        <f t="shared" si="53"/>
        <v>#VALUE!</v>
      </c>
      <c r="AI131" s="23" t="e">
        <f t="shared" si="54"/>
        <v>#VALUE!</v>
      </c>
      <c r="AJ131" s="23" t="e">
        <f t="shared" si="55"/>
        <v>#VALUE!</v>
      </c>
    </row>
    <row r="132" spans="1:36" x14ac:dyDescent="0.2">
      <c r="A132" s="6"/>
      <c r="B132" s="6"/>
      <c r="C132" s="6"/>
      <c r="D132" s="6"/>
      <c r="E132" s="11"/>
      <c r="F132" s="11"/>
      <c r="G132" s="11"/>
      <c r="H132" s="11"/>
      <c r="I132" s="10" t="str">
        <f t="shared" ref="I132:I163" si="56">IF(D132="GEOMETRY",IF(AND(E132&gt;0,F132&gt;0,G132&gt;0),E132*F132*(G132/1000),""),IF(AND(H132&gt;0,G132&gt;0),H132,""))</f>
        <v/>
      </c>
      <c r="J132" s="10" t="str">
        <f t="shared" ref="J132:J163" si="57">IF(AND(I132&gt;0,G132&gt;0),I132/(G132/1000),"")</f>
        <v/>
      </c>
      <c r="K132" s="14" t="str">
        <f t="shared" ref="K132:K163" si="58">IF(AND(J132&gt;0,F132&gt;0),J132/F132,"")</f>
        <v/>
      </c>
      <c r="L132" s="10" t="str">
        <f>IF(C132="BC",'Mix Design'!$B$9,IF(C132="DBM",'Mix Design'!$C$9,""))</f>
        <v/>
      </c>
      <c r="M132" s="10" t="str">
        <f>IF(C132="BC",Inputs!$C$17,IF(C132="DBM",Inputs!$C$18,""))</f>
        <v/>
      </c>
      <c r="N132" s="10" t="e">
        <f t="shared" ref="N132:N163" si="59">IF(AND(I132&gt;0,M132&gt;0),I132*M132,"")</f>
        <v>#VALUE!</v>
      </c>
      <c r="O132" s="10" t="e">
        <f t="shared" ref="O132:O163" si="60">IF(AND(N132&gt;0,L132&gt;0),N132*L132,"")</f>
        <v>#VALUE!</v>
      </c>
      <c r="P132" s="10" t="e">
        <f t="shared" ref="P132:P163" si="61">IF(AND(N132&gt;0,O132&gt;0),N132-O132,"")</f>
        <v>#VALUE!</v>
      </c>
      <c r="Q132" s="23" t="e">
        <f>IF(AND(P132&gt;0,Inputs!$C$6&gt;0),P132/Inputs!$C$6*Inputs!$C$7,"")</f>
        <v>#VALUE!</v>
      </c>
      <c r="R132" s="23" t="str">
        <f>IF(C132="BC",'Rate Model'!$C$19,IF(C132="DBM",'Rate Model'!$E$19,""))</f>
        <v/>
      </c>
      <c r="S132" s="11" t="e">
        <f t="shared" ref="S132:S163" si="62">IF(AND(N132&gt;0,R132&gt;0),N132*R132,"")</f>
        <v>#VALUE!</v>
      </c>
      <c r="T132" s="11" t="str">
        <f>IF(A132&lt;&gt;"",Inputs!$C$47,"")</f>
        <v/>
      </c>
      <c r="U132" s="11" t="str">
        <f>IF(A132&lt;&gt;"",Inputs!$C$48,"")</f>
        <v/>
      </c>
      <c r="V132" s="11">
        <v>2</v>
      </c>
      <c r="W132" s="11" t="str">
        <f>IF(A132&lt;&gt;"",Inputs!$C$49,"")</f>
        <v/>
      </c>
      <c r="X132" s="23">
        <v>0</v>
      </c>
      <c r="Y132" s="23" t="e">
        <f t="shared" ref="Y132:Y163" si="63">IF(AND(T132&gt;0,U132&gt;0,V132&gt;0,W132&gt;0),((T132*U132*V132)+X132)/W132,"")</f>
        <v>#VALUE!</v>
      </c>
      <c r="Z132" s="23" t="e">
        <f t="shared" ref="Z132:Z163" si="64">IF(AND(N132&gt;0,Y132&gt;0),N132*Y132,"")</f>
        <v>#VALUE!</v>
      </c>
      <c r="AA132" s="5" t="str">
        <f>IF(A132&lt;&gt;"",Inputs!$C$57,"")</f>
        <v/>
      </c>
      <c r="AB132" s="6" t="e">
        <f t="shared" ref="AB132:AB163" si="65">IF(AND(N132&gt;0,AA132&gt;0),N132*AA132,"")</f>
        <v>#VALUE!</v>
      </c>
      <c r="AC132" s="6"/>
      <c r="AD132" s="23"/>
      <c r="AE132" s="23">
        <f>IF(AND(J132&gt;0,AC132&gt;0),J132*AC132*Inputs!$C$71,0)</f>
        <v>0</v>
      </c>
      <c r="AF132" s="23">
        <f>IF(AND(J132&gt;0,AD132&gt;0),J132*AD132*Inputs!$C$72,0)</f>
        <v>0</v>
      </c>
      <c r="AG132" s="23" t="e">
        <f t="shared" ref="AG132:AG163" si="66">SUM(S132,Z132,AB132,AE132,AF132)</f>
        <v>#VALUE!</v>
      </c>
      <c r="AH132" s="23" t="e">
        <f t="shared" ref="AH132:AH163" si="67">IF(AND(N132&gt;0,AG132&gt;0),AG132/N132,"")</f>
        <v>#VALUE!</v>
      </c>
      <c r="AI132" s="23" t="e">
        <f t="shared" ref="AI132:AI163" si="68">IF(AND(I132&gt;0,AG132&gt;0),AG132/I132,"")</f>
        <v>#VALUE!</v>
      </c>
      <c r="AJ132" s="23" t="e">
        <f t="shared" ref="AJ132:AJ163" si="69">IF(AND(J132&gt;0,AG132&gt;0),AG132/J132,"")</f>
        <v>#VALUE!</v>
      </c>
    </row>
    <row r="133" spans="1:36" x14ac:dyDescent="0.2">
      <c r="A133" s="6"/>
      <c r="B133" s="6"/>
      <c r="C133" s="6"/>
      <c r="D133" s="6"/>
      <c r="E133" s="11"/>
      <c r="F133" s="11"/>
      <c r="G133" s="11"/>
      <c r="H133" s="11"/>
      <c r="I133" s="10" t="str">
        <f t="shared" si="56"/>
        <v/>
      </c>
      <c r="J133" s="10" t="str">
        <f t="shared" si="57"/>
        <v/>
      </c>
      <c r="K133" s="14" t="str">
        <f t="shared" si="58"/>
        <v/>
      </c>
      <c r="L133" s="10" t="str">
        <f>IF(C133="BC",'Mix Design'!$B$9,IF(C133="DBM",'Mix Design'!$C$9,""))</f>
        <v/>
      </c>
      <c r="M133" s="10" t="str">
        <f>IF(C133="BC",Inputs!$C$17,IF(C133="DBM",Inputs!$C$18,""))</f>
        <v/>
      </c>
      <c r="N133" s="10" t="e">
        <f t="shared" si="59"/>
        <v>#VALUE!</v>
      </c>
      <c r="O133" s="10" t="e">
        <f t="shared" si="60"/>
        <v>#VALUE!</v>
      </c>
      <c r="P133" s="10" t="e">
        <f t="shared" si="61"/>
        <v>#VALUE!</v>
      </c>
      <c r="Q133" s="23" t="e">
        <f>IF(AND(P133&gt;0,Inputs!$C$6&gt;0),P133/Inputs!$C$6*Inputs!$C$7,"")</f>
        <v>#VALUE!</v>
      </c>
      <c r="R133" s="23" t="str">
        <f>IF(C133="BC",'Rate Model'!$C$19,IF(C133="DBM",'Rate Model'!$E$19,""))</f>
        <v/>
      </c>
      <c r="S133" s="11" t="e">
        <f t="shared" si="62"/>
        <v>#VALUE!</v>
      </c>
      <c r="T133" s="11" t="str">
        <f>IF(A133&lt;&gt;"",Inputs!$C$47,"")</f>
        <v/>
      </c>
      <c r="U133" s="11" t="str">
        <f>IF(A133&lt;&gt;"",Inputs!$C$48,"")</f>
        <v/>
      </c>
      <c r="V133" s="11">
        <v>2</v>
      </c>
      <c r="W133" s="11" t="str">
        <f>IF(A133&lt;&gt;"",Inputs!$C$49,"")</f>
        <v/>
      </c>
      <c r="X133" s="23">
        <v>0</v>
      </c>
      <c r="Y133" s="23" t="e">
        <f t="shared" si="63"/>
        <v>#VALUE!</v>
      </c>
      <c r="Z133" s="23" t="e">
        <f t="shared" si="64"/>
        <v>#VALUE!</v>
      </c>
      <c r="AA133" s="5" t="str">
        <f>IF(A133&lt;&gt;"",Inputs!$C$57,"")</f>
        <v/>
      </c>
      <c r="AB133" s="6" t="e">
        <f t="shared" si="65"/>
        <v>#VALUE!</v>
      </c>
      <c r="AC133" s="6"/>
      <c r="AD133" s="23"/>
      <c r="AE133" s="23">
        <f>IF(AND(J133&gt;0,AC133&gt;0),J133*AC133*Inputs!$C$71,0)</f>
        <v>0</v>
      </c>
      <c r="AF133" s="23">
        <f>IF(AND(J133&gt;0,AD133&gt;0),J133*AD133*Inputs!$C$72,0)</f>
        <v>0</v>
      </c>
      <c r="AG133" s="23" t="e">
        <f t="shared" si="66"/>
        <v>#VALUE!</v>
      </c>
      <c r="AH133" s="23" t="e">
        <f t="shared" si="67"/>
        <v>#VALUE!</v>
      </c>
      <c r="AI133" s="23" t="e">
        <f t="shared" si="68"/>
        <v>#VALUE!</v>
      </c>
      <c r="AJ133" s="23" t="e">
        <f t="shared" si="69"/>
        <v>#VALUE!</v>
      </c>
    </row>
    <row r="134" spans="1:36" x14ac:dyDescent="0.2">
      <c r="A134" s="6"/>
      <c r="B134" s="6"/>
      <c r="C134" s="6"/>
      <c r="D134" s="6"/>
      <c r="E134" s="11"/>
      <c r="F134" s="11"/>
      <c r="G134" s="11"/>
      <c r="H134" s="11"/>
      <c r="I134" s="10" t="str">
        <f t="shared" si="56"/>
        <v/>
      </c>
      <c r="J134" s="10" t="str">
        <f t="shared" si="57"/>
        <v/>
      </c>
      <c r="K134" s="14" t="str">
        <f t="shared" si="58"/>
        <v/>
      </c>
      <c r="L134" s="10" t="str">
        <f>IF(C134="BC",'Mix Design'!$B$9,IF(C134="DBM",'Mix Design'!$C$9,""))</f>
        <v/>
      </c>
      <c r="M134" s="10" t="str">
        <f>IF(C134="BC",Inputs!$C$17,IF(C134="DBM",Inputs!$C$18,""))</f>
        <v/>
      </c>
      <c r="N134" s="10" t="e">
        <f t="shared" si="59"/>
        <v>#VALUE!</v>
      </c>
      <c r="O134" s="10" t="e">
        <f t="shared" si="60"/>
        <v>#VALUE!</v>
      </c>
      <c r="P134" s="10" t="e">
        <f t="shared" si="61"/>
        <v>#VALUE!</v>
      </c>
      <c r="Q134" s="23" t="e">
        <f>IF(AND(P134&gt;0,Inputs!$C$6&gt;0),P134/Inputs!$C$6*Inputs!$C$7,"")</f>
        <v>#VALUE!</v>
      </c>
      <c r="R134" s="23" t="str">
        <f>IF(C134="BC",'Rate Model'!$C$19,IF(C134="DBM",'Rate Model'!$E$19,""))</f>
        <v/>
      </c>
      <c r="S134" s="11" t="e">
        <f t="shared" si="62"/>
        <v>#VALUE!</v>
      </c>
      <c r="T134" s="11" t="str">
        <f>IF(A134&lt;&gt;"",Inputs!$C$47,"")</f>
        <v/>
      </c>
      <c r="U134" s="11" t="str">
        <f>IF(A134&lt;&gt;"",Inputs!$C$48,"")</f>
        <v/>
      </c>
      <c r="V134" s="11">
        <v>2</v>
      </c>
      <c r="W134" s="11" t="str">
        <f>IF(A134&lt;&gt;"",Inputs!$C$49,"")</f>
        <v/>
      </c>
      <c r="X134" s="23">
        <v>0</v>
      </c>
      <c r="Y134" s="23" t="e">
        <f t="shared" si="63"/>
        <v>#VALUE!</v>
      </c>
      <c r="Z134" s="23" t="e">
        <f t="shared" si="64"/>
        <v>#VALUE!</v>
      </c>
      <c r="AA134" s="5" t="str">
        <f>IF(A134&lt;&gt;"",Inputs!$C$57,"")</f>
        <v/>
      </c>
      <c r="AB134" s="6" t="e">
        <f t="shared" si="65"/>
        <v>#VALUE!</v>
      </c>
      <c r="AC134" s="6"/>
      <c r="AD134" s="23"/>
      <c r="AE134" s="23">
        <f>IF(AND(J134&gt;0,AC134&gt;0),J134*AC134*Inputs!$C$71,0)</f>
        <v>0</v>
      </c>
      <c r="AF134" s="23">
        <f>IF(AND(J134&gt;0,AD134&gt;0),J134*AD134*Inputs!$C$72,0)</f>
        <v>0</v>
      </c>
      <c r="AG134" s="23" t="e">
        <f t="shared" si="66"/>
        <v>#VALUE!</v>
      </c>
      <c r="AH134" s="23" t="e">
        <f t="shared" si="67"/>
        <v>#VALUE!</v>
      </c>
      <c r="AI134" s="23" t="e">
        <f t="shared" si="68"/>
        <v>#VALUE!</v>
      </c>
      <c r="AJ134" s="23" t="e">
        <f t="shared" si="69"/>
        <v>#VALUE!</v>
      </c>
    </row>
    <row r="135" spans="1:36" x14ac:dyDescent="0.2">
      <c r="A135" s="6"/>
      <c r="B135" s="6"/>
      <c r="C135" s="6"/>
      <c r="D135" s="6"/>
      <c r="E135" s="11"/>
      <c r="F135" s="11"/>
      <c r="G135" s="11"/>
      <c r="H135" s="11"/>
      <c r="I135" s="10" t="str">
        <f t="shared" si="56"/>
        <v/>
      </c>
      <c r="J135" s="10" t="str">
        <f t="shared" si="57"/>
        <v/>
      </c>
      <c r="K135" s="14" t="str">
        <f t="shared" si="58"/>
        <v/>
      </c>
      <c r="L135" s="10" t="str">
        <f>IF(C135="BC",'Mix Design'!$B$9,IF(C135="DBM",'Mix Design'!$C$9,""))</f>
        <v/>
      </c>
      <c r="M135" s="10" t="str">
        <f>IF(C135="BC",Inputs!$C$17,IF(C135="DBM",Inputs!$C$18,""))</f>
        <v/>
      </c>
      <c r="N135" s="10" t="e">
        <f t="shared" si="59"/>
        <v>#VALUE!</v>
      </c>
      <c r="O135" s="10" t="e">
        <f t="shared" si="60"/>
        <v>#VALUE!</v>
      </c>
      <c r="P135" s="10" t="e">
        <f t="shared" si="61"/>
        <v>#VALUE!</v>
      </c>
      <c r="Q135" s="23" t="e">
        <f>IF(AND(P135&gt;0,Inputs!$C$6&gt;0),P135/Inputs!$C$6*Inputs!$C$7,"")</f>
        <v>#VALUE!</v>
      </c>
      <c r="R135" s="23" t="str">
        <f>IF(C135="BC",'Rate Model'!$C$19,IF(C135="DBM",'Rate Model'!$E$19,""))</f>
        <v/>
      </c>
      <c r="S135" s="11" t="e">
        <f t="shared" si="62"/>
        <v>#VALUE!</v>
      </c>
      <c r="T135" s="11" t="str">
        <f>IF(A135&lt;&gt;"",Inputs!$C$47,"")</f>
        <v/>
      </c>
      <c r="U135" s="11" t="str">
        <f>IF(A135&lt;&gt;"",Inputs!$C$48,"")</f>
        <v/>
      </c>
      <c r="V135" s="11">
        <v>2</v>
      </c>
      <c r="W135" s="11" t="str">
        <f>IF(A135&lt;&gt;"",Inputs!$C$49,"")</f>
        <v/>
      </c>
      <c r="X135" s="23">
        <v>0</v>
      </c>
      <c r="Y135" s="23" t="e">
        <f t="shared" si="63"/>
        <v>#VALUE!</v>
      </c>
      <c r="Z135" s="23" t="e">
        <f t="shared" si="64"/>
        <v>#VALUE!</v>
      </c>
      <c r="AA135" s="5" t="str">
        <f>IF(A135&lt;&gt;"",Inputs!$C$57,"")</f>
        <v/>
      </c>
      <c r="AB135" s="6" t="e">
        <f t="shared" si="65"/>
        <v>#VALUE!</v>
      </c>
      <c r="AC135" s="6"/>
      <c r="AD135" s="23"/>
      <c r="AE135" s="23">
        <f>IF(AND(J135&gt;0,AC135&gt;0),J135*AC135*Inputs!$C$71,0)</f>
        <v>0</v>
      </c>
      <c r="AF135" s="23">
        <f>IF(AND(J135&gt;0,AD135&gt;0),J135*AD135*Inputs!$C$72,0)</f>
        <v>0</v>
      </c>
      <c r="AG135" s="23" t="e">
        <f t="shared" si="66"/>
        <v>#VALUE!</v>
      </c>
      <c r="AH135" s="23" t="e">
        <f t="shared" si="67"/>
        <v>#VALUE!</v>
      </c>
      <c r="AI135" s="23" t="e">
        <f t="shared" si="68"/>
        <v>#VALUE!</v>
      </c>
      <c r="AJ135" s="23" t="e">
        <f t="shared" si="69"/>
        <v>#VALUE!</v>
      </c>
    </row>
    <row r="136" spans="1:36" x14ac:dyDescent="0.2">
      <c r="A136" s="6"/>
      <c r="B136" s="6"/>
      <c r="C136" s="6"/>
      <c r="D136" s="6"/>
      <c r="E136" s="11"/>
      <c r="F136" s="11"/>
      <c r="G136" s="11"/>
      <c r="H136" s="11"/>
      <c r="I136" s="10" t="str">
        <f t="shared" si="56"/>
        <v/>
      </c>
      <c r="J136" s="10" t="str">
        <f t="shared" si="57"/>
        <v/>
      </c>
      <c r="K136" s="14" t="str">
        <f t="shared" si="58"/>
        <v/>
      </c>
      <c r="L136" s="10" t="str">
        <f>IF(C136="BC",'Mix Design'!$B$9,IF(C136="DBM",'Mix Design'!$C$9,""))</f>
        <v/>
      </c>
      <c r="M136" s="10" t="str">
        <f>IF(C136="BC",Inputs!$C$17,IF(C136="DBM",Inputs!$C$18,""))</f>
        <v/>
      </c>
      <c r="N136" s="10" t="e">
        <f t="shared" si="59"/>
        <v>#VALUE!</v>
      </c>
      <c r="O136" s="10" t="e">
        <f t="shared" si="60"/>
        <v>#VALUE!</v>
      </c>
      <c r="P136" s="10" t="e">
        <f t="shared" si="61"/>
        <v>#VALUE!</v>
      </c>
      <c r="Q136" s="23" t="e">
        <f>IF(AND(P136&gt;0,Inputs!$C$6&gt;0),P136/Inputs!$C$6*Inputs!$C$7,"")</f>
        <v>#VALUE!</v>
      </c>
      <c r="R136" s="23" t="str">
        <f>IF(C136="BC",'Rate Model'!$C$19,IF(C136="DBM",'Rate Model'!$E$19,""))</f>
        <v/>
      </c>
      <c r="S136" s="11" t="e">
        <f t="shared" si="62"/>
        <v>#VALUE!</v>
      </c>
      <c r="T136" s="11" t="str">
        <f>IF(A136&lt;&gt;"",Inputs!$C$47,"")</f>
        <v/>
      </c>
      <c r="U136" s="11" t="str">
        <f>IF(A136&lt;&gt;"",Inputs!$C$48,"")</f>
        <v/>
      </c>
      <c r="V136" s="11">
        <v>2</v>
      </c>
      <c r="W136" s="11" t="str">
        <f>IF(A136&lt;&gt;"",Inputs!$C$49,"")</f>
        <v/>
      </c>
      <c r="X136" s="23">
        <v>0</v>
      </c>
      <c r="Y136" s="23" t="e">
        <f t="shared" si="63"/>
        <v>#VALUE!</v>
      </c>
      <c r="Z136" s="23" t="e">
        <f t="shared" si="64"/>
        <v>#VALUE!</v>
      </c>
      <c r="AA136" s="5" t="str">
        <f>IF(A136&lt;&gt;"",Inputs!$C$57,"")</f>
        <v/>
      </c>
      <c r="AB136" s="6" t="e">
        <f t="shared" si="65"/>
        <v>#VALUE!</v>
      </c>
      <c r="AC136" s="6"/>
      <c r="AD136" s="23"/>
      <c r="AE136" s="23">
        <f>IF(AND(J136&gt;0,AC136&gt;0),J136*AC136*Inputs!$C$71,0)</f>
        <v>0</v>
      </c>
      <c r="AF136" s="23">
        <f>IF(AND(J136&gt;0,AD136&gt;0),J136*AD136*Inputs!$C$72,0)</f>
        <v>0</v>
      </c>
      <c r="AG136" s="23" t="e">
        <f t="shared" si="66"/>
        <v>#VALUE!</v>
      </c>
      <c r="AH136" s="23" t="e">
        <f t="shared" si="67"/>
        <v>#VALUE!</v>
      </c>
      <c r="AI136" s="23" t="e">
        <f t="shared" si="68"/>
        <v>#VALUE!</v>
      </c>
      <c r="AJ136" s="23" t="e">
        <f t="shared" si="69"/>
        <v>#VALUE!</v>
      </c>
    </row>
    <row r="137" spans="1:36" x14ac:dyDescent="0.2">
      <c r="A137" s="6"/>
      <c r="B137" s="6"/>
      <c r="C137" s="6"/>
      <c r="D137" s="6"/>
      <c r="E137" s="11"/>
      <c r="F137" s="11"/>
      <c r="G137" s="11"/>
      <c r="H137" s="11"/>
      <c r="I137" s="10" t="str">
        <f t="shared" si="56"/>
        <v/>
      </c>
      <c r="J137" s="10" t="str">
        <f t="shared" si="57"/>
        <v/>
      </c>
      <c r="K137" s="14" t="str">
        <f t="shared" si="58"/>
        <v/>
      </c>
      <c r="L137" s="10" t="str">
        <f>IF(C137="BC",'Mix Design'!$B$9,IF(C137="DBM",'Mix Design'!$C$9,""))</f>
        <v/>
      </c>
      <c r="M137" s="10" t="str">
        <f>IF(C137="BC",Inputs!$C$17,IF(C137="DBM",Inputs!$C$18,""))</f>
        <v/>
      </c>
      <c r="N137" s="10" t="e">
        <f t="shared" si="59"/>
        <v>#VALUE!</v>
      </c>
      <c r="O137" s="10" t="e">
        <f t="shared" si="60"/>
        <v>#VALUE!</v>
      </c>
      <c r="P137" s="10" t="e">
        <f t="shared" si="61"/>
        <v>#VALUE!</v>
      </c>
      <c r="Q137" s="23" t="e">
        <f>IF(AND(P137&gt;0,Inputs!$C$6&gt;0),P137/Inputs!$C$6*Inputs!$C$7,"")</f>
        <v>#VALUE!</v>
      </c>
      <c r="R137" s="23" t="str">
        <f>IF(C137="BC",'Rate Model'!$C$19,IF(C137="DBM",'Rate Model'!$E$19,""))</f>
        <v/>
      </c>
      <c r="S137" s="11" t="e">
        <f t="shared" si="62"/>
        <v>#VALUE!</v>
      </c>
      <c r="T137" s="11" t="str">
        <f>IF(A137&lt;&gt;"",Inputs!$C$47,"")</f>
        <v/>
      </c>
      <c r="U137" s="11" t="str">
        <f>IF(A137&lt;&gt;"",Inputs!$C$48,"")</f>
        <v/>
      </c>
      <c r="V137" s="11">
        <v>2</v>
      </c>
      <c r="W137" s="11" t="str">
        <f>IF(A137&lt;&gt;"",Inputs!$C$49,"")</f>
        <v/>
      </c>
      <c r="X137" s="23">
        <v>0</v>
      </c>
      <c r="Y137" s="23" t="e">
        <f t="shared" si="63"/>
        <v>#VALUE!</v>
      </c>
      <c r="Z137" s="23" t="e">
        <f t="shared" si="64"/>
        <v>#VALUE!</v>
      </c>
      <c r="AA137" s="5" t="str">
        <f>IF(A137&lt;&gt;"",Inputs!$C$57,"")</f>
        <v/>
      </c>
      <c r="AB137" s="6" t="e">
        <f t="shared" si="65"/>
        <v>#VALUE!</v>
      </c>
      <c r="AC137" s="6"/>
      <c r="AD137" s="23"/>
      <c r="AE137" s="23">
        <f>IF(AND(J137&gt;0,AC137&gt;0),J137*AC137*Inputs!$C$71,0)</f>
        <v>0</v>
      </c>
      <c r="AF137" s="23">
        <f>IF(AND(J137&gt;0,AD137&gt;0),J137*AD137*Inputs!$C$72,0)</f>
        <v>0</v>
      </c>
      <c r="AG137" s="23" t="e">
        <f t="shared" si="66"/>
        <v>#VALUE!</v>
      </c>
      <c r="AH137" s="23" t="e">
        <f t="shared" si="67"/>
        <v>#VALUE!</v>
      </c>
      <c r="AI137" s="23" t="e">
        <f t="shared" si="68"/>
        <v>#VALUE!</v>
      </c>
      <c r="AJ137" s="23" t="e">
        <f t="shared" si="69"/>
        <v>#VALUE!</v>
      </c>
    </row>
    <row r="138" spans="1:36" x14ac:dyDescent="0.2">
      <c r="A138" s="6"/>
      <c r="B138" s="6"/>
      <c r="C138" s="6"/>
      <c r="D138" s="6"/>
      <c r="E138" s="11"/>
      <c r="F138" s="11"/>
      <c r="G138" s="11"/>
      <c r="H138" s="11"/>
      <c r="I138" s="10" t="str">
        <f t="shared" si="56"/>
        <v/>
      </c>
      <c r="J138" s="10" t="str">
        <f t="shared" si="57"/>
        <v/>
      </c>
      <c r="K138" s="14" t="str">
        <f t="shared" si="58"/>
        <v/>
      </c>
      <c r="L138" s="10" t="str">
        <f>IF(C138="BC",'Mix Design'!$B$9,IF(C138="DBM",'Mix Design'!$C$9,""))</f>
        <v/>
      </c>
      <c r="M138" s="10" t="str">
        <f>IF(C138="BC",Inputs!$C$17,IF(C138="DBM",Inputs!$C$18,""))</f>
        <v/>
      </c>
      <c r="N138" s="10" t="e">
        <f t="shared" si="59"/>
        <v>#VALUE!</v>
      </c>
      <c r="O138" s="10" t="e">
        <f t="shared" si="60"/>
        <v>#VALUE!</v>
      </c>
      <c r="P138" s="10" t="e">
        <f t="shared" si="61"/>
        <v>#VALUE!</v>
      </c>
      <c r="Q138" s="23" t="e">
        <f>IF(AND(P138&gt;0,Inputs!$C$6&gt;0),P138/Inputs!$C$6*Inputs!$C$7,"")</f>
        <v>#VALUE!</v>
      </c>
      <c r="R138" s="23" t="str">
        <f>IF(C138="BC",'Rate Model'!$C$19,IF(C138="DBM",'Rate Model'!$E$19,""))</f>
        <v/>
      </c>
      <c r="S138" s="11" t="e">
        <f t="shared" si="62"/>
        <v>#VALUE!</v>
      </c>
      <c r="T138" s="11" t="str">
        <f>IF(A138&lt;&gt;"",Inputs!$C$47,"")</f>
        <v/>
      </c>
      <c r="U138" s="11" t="str">
        <f>IF(A138&lt;&gt;"",Inputs!$C$48,"")</f>
        <v/>
      </c>
      <c r="V138" s="11">
        <v>2</v>
      </c>
      <c r="W138" s="11" t="str">
        <f>IF(A138&lt;&gt;"",Inputs!$C$49,"")</f>
        <v/>
      </c>
      <c r="X138" s="23">
        <v>0</v>
      </c>
      <c r="Y138" s="23" t="e">
        <f t="shared" si="63"/>
        <v>#VALUE!</v>
      </c>
      <c r="Z138" s="23" t="e">
        <f t="shared" si="64"/>
        <v>#VALUE!</v>
      </c>
      <c r="AA138" s="5" t="str">
        <f>IF(A138&lt;&gt;"",Inputs!$C$57,"")</f>
        <v/>
      </c>
      <c r="AB138" s="6" t="e">
        <f t="shared" si="65"/>
        <v>#VALUE!</v>
      </c>
      <c r="AC138" s="6"/>
      <c r="AD138" s="23"/>
      <c r="AE138" s="23">
        <f>IF(AND(J138&gt;0,AC138&gt;0),J138*AC138*Inputs!$C$71,0)</f>
        <v>0</v>
      </c>
      <c r="AF138" s="23">
        <f>IF(AND(J138&gt;0,AD138&gt;0),J138*AD138*Inputs!$C$72,0)</f>
        <v>0</v>
      </c>
      <c r="AG138" s="23" t="e">
        <f t="shared" si="66"/>
        <v>#VALUE!</v>
      </c>
      <c r="AH138" s="23" t="e">
        <f t="shared" si="67"/>
        <v>#VALUE!</v>
      </c>
      <c r="AI138" s="23" t="e">
        <f t="shared" si="68"/>
        <v>#VALUE!</v>
      </c>
      <c r="AJ138" s="23" t="e">
        <f t="shared" si="69"/>
        <v>#VALUE!</v>
      </c>
    </row>
    <row r="139" spans="1:36" x14ac:dyDescent="0.2">
      <c r="A139" s="6"/>
      <c r="B139" s="6"/>
      <c r="C139" s="6"/>
      <c r="D139" s="6"/>
      <c r="E139" s="11"/>
      <c r="F139" s="11"/>
      <c r="G139" s="11"/>
      <c r="H139" s="11"/>
      <c r="I139" s="10" t="str">
        <f t="shared" si="56"/>
        <v/>
      </c>
      <c r="J139" s="10" t="str">
        <f t="shared" si="57"/>
        <v/>
      </c>
      <c r="K139" s="14" t="str">
        <f t="shared" si="58"/>
        <v/>
      </c>
      <c r="L139" s="10" t="str">
        <f>IF(C139="BC",'Mix Design'!$B$9,IF(C139="DBM",'Mix Design'!$C$9,""))</f>
        <v/>
      </c>
      <c r="M139" s="10" t="str">
        <f>IF(C139="BC",Inputs!$C$17,IF(C139="DBM",Inputs!$C$18,""))</f>
        <v/>
      </c>
      <c r="N139" s="10" t="e">
        <f t="shared" si="59"/>
        <v>#VALUE!</v>
      </c>
      <c r="O139" s="10" t="e">
        <f t="shared" si="60"/>
        <v>#VALUE!</v>
      </c>
      <c r="P139" s="10" t="e">
        <f t="shared" si="61"/>
        <v>#VALUE!</v>
      </c>
      <c r="Q139" s="23" t="e">
        <f>IF(AND(P139&gt;0,Inputs!$C$6&gt;0),P139/Inputs!$C$6*Inputs!$C$7,"")</f>
        <v>#VALUE!</v>
      </c>
      <c r="R139" s="23" t="str">
        <f>IF(C139="BC",'Rate Model'!$C$19,IF(C139="DBM",'Rate Model'!$E$19,""))</f>
        <v/>
      </c>
      <c r="S139" s="11" t="e">
        <f t="shared" si="62"/>
        <v>#VALUE!</v>
      </c>
      <c r="T139" s="11" t="str">
        <f>IF(A139&lt;&gt;"",Inputs!$C$47,"")</f>
        <v/>
      </c>
      <c r="U139" s="11" t="str">
        <f>IF(A139&lt;&gt;"",Inputs!$C$48,"")</f>
        <v/>
      </c>
      <c r="V139" s="11">
        <v>2</v>
      </c>
      <c r="W139" s="11" t="str">
        <f>IF(A139&lt;&gt;"",Inputs!$C$49,"")</f>
        <v/>
      </c>
      <c r="X139" s="23">
        <v>0</v>
      </c>
      <c r="Y139" s="23" t="e">
        <f t="shared" si="63"/>
        <v>#VALUE!</v>
      </c>
      <c r="Z139" s="23" t="e">
        <f t="shared" si="64"/>
        <v>#VALUE!</v>
      </c>
      <c r="AA139" s="5" t="str">
        <f>IF(A139&lt;&gt;"",Inputs!$C$57,"")</f>
        <v/>
      </c>
      <c r="AB139" s="6" t="e">
        <f t="shared" si="65"/>
        <v>#VALUE!</v>
      </c>
      <c r="AC139" s="6"/>
      <c r="AD139" s="23"/>
      <c r="AE139" s="23">
        <f>IF(AND(J139&gt;0,AC139&gt;0),J139*AC139*Inputs!$C$71,0)</f>
        <v>0</v>
      </c>
      <c r="AF139" s="23">
        <f>IF(AND(J139&gt;0,AD139&gt;0),J139*AD139*Inputs!$C$72,0)</f>
        <v>0</v>
      </c>
      <c r="AG139" s="23" t="e">
        <f t="shared" si="66"/>
        <v>#VALUE!</v>
      </c>
      <c r="AH139" s="23" t="e">
        <f t="shared" si="67"/>
        <v>#VALUE!</v>
      </c>
      <c r="AI139" s="23" t="e">
        <f t="shared" si="68"/>
        <v>#VALUE!</v>
      </c>
      <c r="AJ139" s="23" t="e">
        <f t="shared" si="69"/>
        <v>#VALUE!</v>
      </c>
    </row>
    <row r="140" spans="1:36" x14ac:dyDescent="0.2">
      <c r="A140" s="6"/>
      <c r="B140" s="6"/>
      <c r="C140" s="6"/>
      <c r="D140" s="6"/>
      <c r="E140" s="11"/>
      <c r="F140" s="11"/>
      <c r="G140" s="11"/>
      <c r="H140" s="11"/>
      <c r="I140" s="10" t="str">
        <f t="shared" si="56"/>
        <v/>
      </c>
      <c r="J140" s="10" t="str">
        <f t="shared" si="57"/>
        <v/>
      </c>
      <c r="K140" s="14" t="str">
        <f t="shared" si="58"/>
        <v/>
      </c>
      <c r="L140" s="10" t="str">
        <f>IF(C140="BC",'Mix Design'!$B$9,IF(C140="DBM",'Mix Design'!$C$9,""))</f>
        <v/>
      </c>
      <c r="M140" s="10" t="str">
        <f>IF(C140="BC",Inputs!$C$17,IF(C140="DBM",Inputs!$C$18,""))</f>
        <v/>
      </c>
      <c r="N140" s="10" t="e">
        <f t="shared" si="59"/>
        <v>#VALUE!</v>
      </c>
      <c r="O140" s="10" t="e">
        <f t="shared" si="60"/>
        <v>#VALUE!</v>
      </c>
      <c r="P140" s="10" t="e">
        <f t="shared" si="61"/>
        <v>#VALUE!</v>
      </c>
      <c r="Q140" s="23" t="e">
        <f>IF(AND(P140&gt;0,Inputs!$C$6&gt;0),P140/Inputs!$C$6*Inputs!$C$7,"")</f>
        <v>#VALUE!</v>
      </c>
      <c r="R140" s="23" t="str">
        <f>IF(C140="BC",'Rate Model'!$C$19,IF(C140="DBM",'Rate Model'!$E$19,""))</f>
        <v/>
      </c>
      <c r="S140" s="11" t="e">
        <f t="shared" si="62"/>
        <v>#VALUE!</v>
      </c>
      <c r="T140" s="11" t="str">
        <f>IF(A140&lt;&gt;"",Inputs!$C$47,"")</f>
        <v/>
      </c>
      <c r="U140" s="11" t="str">
        <f>IF(A140&lt;&gt;"",Inputs!$C$48,"")</f>
        <v/>
      </c>
      <c r="V140" s="11">
        <v>2</v>
      </c>
      <c r="W140" s="11" t="str">
        <f>IF(A140&lt;&gt;"",Inputs!$C$49,"")</f>
        <v/>
      </c>
      <c r="X140" s="23">
        <v>0</v>
      </c>
      <c r="Y140" s="23" t="e">
        <f t="shared" si="63"/>
        <v>#VALUE!</v>
      </c>
      <c r="Z140" s="23" t="e">
        <f t="shared" si="64"/>
        <v>#VALUE!</v>
      </c>
      <c r="AA140" s="5" t="str">
        <f>IF(A140&lt;&gt;"",Inputs!$C$57,"")</f>
        <v/>
      </c>
      <c r="AB140" s="6" t="e">
        <f t="shared" si="65"/>
        <v>#VALUE!</v>
      </c>
      <c r="AC140" s="6"/>
      <c r="AD140" s="23"/>
      <c r="AE140" s="23">
        <f>IF(AND(J140&gt;0,AC140&gt;0),J140*AC140*Inputs!$C$71,0)</f>
        <v>0</v>
      </c>
      <c r="AF140" s="23">
        <f>IF(AND(J140&gt;0,AD140&gt;0),J140*AD140*Inputs!$C$72,0)</f>
        <v>0</v>
      </c>
      <c r="AG140" s="23" t="e">
        <f t="shared" si="66"/>
        <v>#VALUE!</v>
      </c>
      <c r="AH140" s="23" t="e">
        <f t="shared" si="67"/>
        <v>#VALUE!</v>
      </c>
      <c r="AI140" s="23" t="e">
        <f t="shared" si="68"/>
        <v>#VALUE!</v>
      </c>
      <c r="AJ140" s="23" t="e">
        <f t="shared" si="69"/>
        <v>#VALUE!</v>
      </c>
    </row>
    <row r="141" spans="1:36" x14ac:dyDescent="0.2">
      <c r="A141" s="6"/>
      <c r="B141" s="6"/>
      <c r="C141" s="6"/>
      <c r="D141" s="6"/>
      <c r="E141" s="11"/>
      <c r="F141" s="11"/>
      <c r="G141" s="11"/>
      <c r="H141" s="11"/>
      <c r="I141" s="10" t="str">
        <f t="shared" si="56"/>
        <v/>
      </c>
      <c r="J141" s="10" t="str">
        <f t="shared" si="57"/>
        <v/>
      </c>
      <c r="K141" s="14" t="str">
        <f t="shared" si="58"/>
        <v/>
      </c>
      <c r="L141" s="10" t="str">
        <f>IF(C141="BC",'Mix Design'!$B$9,IF(C141="DBM",'Mix Design'!$C$9,""))</f>
        <v/>
      </c>
      <c r="M141" s="10" t="str">
        <f>IF(C141="BC",Inputs!$C$17,IF(C141="DBM",Inputs!$C$18,""))</f>
        <v/>
      </c>
      <c r="N141" s="10" t="e">
        <f t="shared" si="59"/>
        <v>#VALUE!</v>
      </c>
      <c r="O141" s="10" t="e">
        <f t="shared" si="60"/>
        <v>#VALUE!</v>
      </c>
      <c r="P141" s="10" t="e">
        <f t="shared" si="61"/>
        <v>#VALUE!</v>
      </c>
      <c r="Q141" s="23" t="e">
        <f>IF(AND(P141&gt;0,Inputs!$C$6&gt;0),P141/Inputs!$C$6*Inputs!$C$7,"")</f>
        <v>#VALUE!</v>
      </c>
      <c r="R141" s="23" t="str">
        <f>IF(C141="BC",'Rate Model'!$C$19,IF(C141="DBM",'Rate Model'!$E$19,""))</f>
        <v/>
      </c>
      <c r="S141" s="11" t="e">
        <f t="shared" si="62"/>
        <v>#VALUE!</v>
      </c>
      <c r="T141" s="11" t="str">
        <f>IF(A141&lt;&gt;"",Inputs!$C$47,"")</f>
        <v/>
      </c>
      <c r="U141" s="11" t="str">
        <f>IF(A141&lt;&gt;"",Inputs!$C$48,"")</f>
        <v/>
      </c>
      <c r="V141" s="11">
        <v>2</v>
      </c>
      <c r="W141" s="11" t="str">
        <f>IF(A141&lt;&gt;"",Inputs!$C$49,"")</f>
        <v/>
      </c>
      <c r="X141" s="23">
        <v>0</v>
      </c>
      <c r="Y141" s="23" t="e">
        <f t="shared" si="63"/>
        <v>#VALUE!</v>
      </c>
      <c r="Z141" s="23" t="e">
        <f t="shared" si="64"/>
        <v>#VALUE!</v>
      </c>
      <c r="AA141" s="5" t="str">
        <f>IF(A141&lt;&gt;"",Inputs!$C$57,"")</f>
        <v/>
      </c>
      <c r="AB141" s="6" t="e">
        <f t="shared" si="65"/>
        <v>#VALUE!</v>
      </c>
      <c r="AC141" s="6"/>
      <c r="AD141" s="23"/>
      <c r="AE141" s="23">
        <f>IF(AND(J141&gt;0,AC141&gt;0),J141*AC141*Inputs!$C$71,0)</f>
        <v>0</v>
      </c>
      <c r="AF141" s="23">
        <f>IF(AND(J141&gt;0,AD141&gt;0),J141*AD141*Inputs!$C$72,0)</f>
        <v>0</v>
      </c>
      <c r="AG141" s="23" t="e">
        <f t="shared" si="66"/>
        <v>#VALUE!</v>
      </c>
      <c r="AH141" s="23" t="e">
        <f t="shared" si="67"/>
        <v>#VALUE!</v>
      </c>
      <c r="AI141" s="23" t="e">
        <f t="shared" si="68"/>
        <v>#VALUE!</v>
      </c>
      <c r="AJ141" s="23" t="e">
        <f t="shared" si="69"/>
        <v>#VALUE!</v>
      </c>
    </row>
    <row r="142" spans="1:36" x14ac:dyDescent="0.2">
      <c r="A142" s="6"/>
      <c r="B142" s="6"/>
      <c r="C142" s="6"/>
      <c r="D142" s="6"/>
      <c r="E142" s="11"/>
      <c r="F142" s="11"/>
      <c r="G142" s="11"/>
      <c r="H142" s="11"/>
      <c r="I142" s="10" t="str">
        <f t="shared" si="56"/>
        <v/>
      </c>
      <c r="J142" s="10" t="str">
        <f t="shared" si="57"/>
        <v/>
      </c>
      <c r="K142" s="14" t="str">
        <f t="shared" si="58"/>
        <v/>
      </c>
      <c r="L142" s="10" t="str">
        <f>IF(C142="BC",'Mix Design'!$B$9,IF(C142="DBM",'Mix Design'!$C$9,""))</f>
        <v/>
      </c>
      <c r="M142" s="10" t="str">
        <f>IF(C142="BC",Inputs!$C$17,IF(C142="DBM",Inputs!$C$18,""))</f>
        <v/>
      </c>
      <c r="N142" s="10" t="e">
        <f t="shared" si="59"/>
        <v>#VALUE!</v>
      </c>
      <c r="O142" s="10" t="e">
        <f t="shared" si="60"/>
        <v>#VALUE!</v>
      </c>
      <c r="P142" s="10" t="e">
        <f t="shared" si="61"/>
        <v>#VALUE!</v>
      </c>
      <c r="Q142" s="23" t="e">
        <f>IF(AND(P142&gt;0,Inputs!$C$6&gt;0),P142/Inputs!$C$6*Inputs!$C$7,"")</f>
        <v>#VALUE!</v>
      </c>
      <c r="R142" s="23" t="str">
        <f>IF(C142="BC",'Rate Model'!$C$19,IF(C142="DBM",'Rate Model'!$E$19,""))</f>
        <v/>
      </c>
      <c r="S142" s="11" t="e">
        <f t="shared" si="62"/>
        <v>#VALUE!</v>
      </c>
      <c r="T142" s="11" t="str">
        <f>IF(A142&lt;&gt;"",Inputs!$C$47,"")</f>
        <v/>
      </c>
      <c r="U142" s="11" t="str">
        <f>IF(A142&lt;&gt;"",Inputs!$C$48,"")</f>
        <v/>
      </c>
      <c r="V142" s="11">
        <v>2</v>
      </c>
      <c r="W142" s="11" t="str">
        <f>IF(A142&lt;&gt;"",Inputs!$C$49,"")</f>
        <v/>
      </c>
      <c r="X142" s="23">
        <v>0</v>
      </c>
      <c r="Y142" s="23" t="e">
        <f t="shared" si="63"/>
        <v>#VALUE!</v>
      </c>
      <c r="Z142" s="23" t="e">
        <f t="shared" si="64"/>
        <v>#VALUE!</v>
      </c>
      <c r="AA142" s="5" t="str">
        <f>IF(A142&lt;&gt;"",Inputs!$C$57,"")</f>
        <v/>
      </c>
      <c r="AB142" s="6" t="e">
        <f t="shared" si="65"/>
        <v>#VALUE!</v>
      </c>
      <c r="AC142" s="6"/>
      <c r="AD142" s="23"/>
      <c r="AE142" s="23">
        <f>IF(AND(J142&gt;0,AC142&gt;0),J142*AC142*Inputs!$C$71,0)</f>
        <v>0</v>
      </c>
      <c r="AF142" s="23">
        <f>IF(AND(J142&gt;0,AD142&gt;0),J142*AD142*Inputs!$C$72,0)</f>
        <v>0</v>
      </c>
      <c r="AG142" s="23" t="e">
        <f t="shared" si="66"/>
        <v>#VALUE!</v>
      </c>
      <c r="AH142" s="23" t="e">
        <f t="shared" si="67"/>
        <v>#VALUE!</v>
      </c>
      <c r="AI142" s="23" t="e">
        <f t="shared" si="68"/>
        <v>#VALUE!</v>
      </c>
      <c r="AJ142" s="23" t="e">
        <f t="shared" si="69"/>
        <v>#VALUE!</v>
      </c>
    </row>
    <row r="143" spans="1:36" x14ac:dyDescent="0.2">
      <c r="A143" s="6"/>
      <c r="B143" s="6"/>
      <c r="C143" s="6"/>
      <c r="D143" s="6"/>
      <c r="E143" s="11"/>
      <c r="F143" s="11"/>
      <c r="G143" s="11"/>
      <c r="H143" s="11"/>
      <c r="I143" s="10" t="str">
        <f t="shared" si="56"/>
        <v/>
      </c>
      <c r="J143" s="10" t="str">
        <f t="shared" si="57"/>
        <v/>
      </c>
      <c r="K143" s="14" t="str">
        <f t="shared" si="58"/>
        <v/>
      </c>
      <c r="L143" s="10" t="str">
        <f>IF(C143="BC",'Mix Design'!$B$9,IF(C143="DBM",'Mix Design'!$C$9,""))</f>
        <v/>
      </c>
      <c r="M143" s="10" t="str">
        <f>IF(C143="BC",Inputs!$C$17,IF(C143="DBM",Inputs!$C$18,""))</f>
        <v/>
      </c>
      <c r="N143" s="10" t="e">
        <f t="shared" si="59"/>
        <v>#VALUE!</v>
      </c>
      <c r="O143" s="10" t="e">
        <f t="shared" si="60"/>
        <v>#VALUE!</v>
      </c>
      <c r="P143" s="10" t="e">
        <f t="shared" si="61"/>
        <v>#VALUE!</v>
      </c>
      <c r="Q143" s="23" t="e">
        <f>IF(AND(P143&gt;0,Inputs!$C$6&gt;0),P143/Inputs!$C$6*Inputs!$C$7,"")</f>
        <v>#VALUE!</v>
      </c>
      <c r="R143" s="23" t="str">
        <f>IF(C143="BC",'Rate Model'!$C$19,IF(C143="DBM",'Rate Model'!$E$19,""))</f>
        <v/>
      </c>
      <c r="S143" s="11" t="e">
        <f t="shared" si="62"/>
        <v>#VALUE!</v>
      </c>
      <c r="T143" s="11" t="str">
        <f>IF(A143&lt;&gt;"",Inputs!$C$47,"")</f>
        <v/>
      </c>
      <c r="U143" s="11" t="str">
        <f>IF(A143&lt;&gt;"",Inputs!$C$48,"")</f>
        <v/>
      </c>
      <c r="V143" s="11">
        <v>2</v>
      </c>
      <c r="W143" s="11" t="str">
        <f>IF(A143&lt;&gt;"",Inputs!$C$49,"")</f>
        <v/>
      </c>
      <c r="X143" s="23">
        <v>0</v>
      </c>
      <c r="Y143" s="23" t="e">
        <f t="shared" si="63"/>
        <v>#VALUE!</v>
      </c>
      <c r="Z143" s="23" t="e">
        <f t="shared" si="64"/>
        <v>#VALUE!</v>
      </c>
      <c r="AA143" s="5" t="str">
        <f>IF(A143&lt;&gt;"",Inputs!$C$57,"")</f>
        <v/>
      </c>
      <c r="AB143" s="6" t="e">
        <f t="shared" si="65"/>
        <v>#VALUE!</v>
      </c>
      <c r="AC143" s="6"/>
      <c r="AD143" s="23"/>
      <c r="AE143" s="23">
        <f>IF(AND(J143&gt;0,AC143&gt;0),J143*AC143*Inputs!$C$71,0)</f>
        <v>0</v>
      </c>
      <c r="AF143" s="23">
        <f>IF(AND(J143&gt;0,AD143&gt;0),J143*AD143*Inputs!$C$72,0)</f>
        <v>0</v>
      </c>
      <c r="AG143" s="23" t="e">
        <f t="shared" si="66"/>
        <v>#VALUE!</v>
      </c>
      <c r="AH143" s="23" t="e">
        <f t="shared" si="67"/>
        <v>#VALUE!</v>
      </c>
      <c r="AI143" s="23" t="e">
        <f t="shared" si="68"/>
        <v>#VALUE!</v>
      </c>
      <c r="AJ143" s="23" t="e">
        <f t="shared" si="69"/>
        <v>#VALUE!</v>
      </c>
    </row>
    <row r="144" spans="1:36" x14ac:dyDescent="0.2">
      <c r="A144" s="6"/>
      <c r="B144" s="6"/>
      <c r="C144" s="6"/>
      <c r="D144" s="6"/>
      <c r="E144" s="11"/>
      <c r="F144" s="11"/>
      <c r="G144" s="11"/>
      <c r="H144" s="11"/>
      <c r="I144" s="10" t="str">
        <f t="shared" si="56"/>
        <v/>
      </c>
      <c r="J144" s="10" t="str">
        <f t="shared" si="57"/>
        <v/>
      </c>
      <c r="K144" s="14" t="str">
        <f t="shared" si="58"/>
        <v/>
      </c>
      <c r="L144" s="10" t="str">
        <f>IF(C144="BC",'Mix Design'!$B$9,IF(C144="DBM",'Mix Design'!$C$9,""))</f>
        <v/>
      </c>
      <c r="M144" s="10" t="str">
        <f>IF(C144="BC",Inputs!$C$17,IF(C144="DBM",Inputs!$C$18,""))</f>
        <v/>
      </c>
      <c r="N144" s="10" t="e">
        <f t="shared" si="59"/>
        <v>#VALUE!</v>
      </c>
      <c r="O144" s="10" t="e">
        <f t="shared" si="60"/>
        <v>#VALUE!</v>
      </c>
      <c r="P144" s="10" t="e">
        <f t="shared" si="61"/>
        <v>#VALUE!</v>
      </c>
      <c r="Q144" s="23" t="e">
        <f>IF(AND(P144&gt;0,Inputs!$C$6&gt;0),P144/Inputs!$C$6*Inputs!$C$7,"")</f>
        <v>#VALUE!</v>
      </c>
      <c r="R144" s="23" t="str">
        <f>IF(C144="BC",'Rate Model'!$C$19,IF(C144="DBM",'Rate Model'!$E$19,""))</f>
        <v/>
      </c>
      <c r="S144" s="11" t="e">
        <f t="shared" si="62"/>
        <v>#VALUE!</v>
      </c>
      <c r="T144" s="11" t="str">
        <f>IF(A144&lt;&gt;"",Inputs!$C$47,"")</f>
        <v/>
      </c>
      <c r="U144" s="11" t="str">
        <f>IF(A144&lt;&gt;"",Inputs!$C$48,"")</f>
        <v/>
      </c>
      <c r="V144" s="11">
        <v>2</v>
      </c>
      <c r="W144" s="11" t="str">
        <f>IF(A144&lt;&gt;"",Inputs!$C$49,"")</f>
        <v/>
      </c>
      <c r="X144" s="23">
        <v>0</v>
      </c>
      <c r="Y144" s="23" t="e">
        <f t="shared" si="63"/>
        <v>#VALUE!</v>
      </c>
      <c r="Z144" s="23" t="e">
        <f t="shared" si="64"/>
        <v>#VALUE!</v>
      </c>
      <c r="AA144" s="5" t="str">
        <f>IF(A144&lt;&gt;"",Inputs!$C$57,"")</f>
        <v/>
      </c>
      <c r="AB144" s="6" t="e">
        <f t="shared" si="65"/>
        <v>#VALUE!</v>
      </c>
      <c r="AC144" s="6"/>
      <c r="AD144" s="23"/>
      <c r="AE144" s="23">
        <f>IF(AND(J144&gt;0,AC144&gt;0),J144*AC144*Inputs!$C$71,0)</f>
        <v>0</v>
      </c>
      <c r="AF144" s="23">
        <f>IF(AND(J144&gt;0,AD144&gt;0),J144*AD144*Inputs!$C$72,0)</f>
        <v>0</v>
      </c>
      <c r="AG144" s="23" t="e">
        <f t="shared" si="66"/>
        <v>#VALUE!</v>
      </c>
      <c r="AH144" s="23" t="e">
        <f t="shared" si="67"/>
        <v>#VALUE!</v>
      </c>
      <c r="AI144" s="23" t="e">
        <f t="shared" si="68"/>
        <v>#VALUE!</v>
      </c>
      <c r="AJ144" s="23" t="e">
        <f t="shared" si="69"/>
        <v>#VALUE!</v>
      </c>
    </row>
    <row r="145" spans="1:36" x14ac:dyDescent="0.2">
      <c r="A145" s="6"/>
      <c r="B145" s="6"/>
      <c r="C145" s="6"/>
      <c r="D145" s="6"/>
      <c r="E145" s="11"/>
      <c r="F145" s="11"/>
      <c r="G145" s="11"/>
      <c r="H145" s="11"/>
      <c r="I145" s="10" t="str">
        <f t="shared" si="56"/>
        <v/>
      </c>
      <c r="J145" s="10" t="str">
        <f t="shared" si="57"/>
        <v/>
      </c>
      <c r="K145" s="14" t="str">
        <f t="shared" si="58"/>
        <v/>
      </c>
      <c r="L145" s="10" t="str">
        <f>IF(C145="BC",'Mix Design'!$B$9,IF(C145="DBM",'Mix Design'!$C$9,""))</f>
        <v/>
      </c>
      <c r="M145" s="10" t="str">
        <f>IF(C145="BC",Inputs!$C$17,IF(C145="DBM",Inputs!$C$18,""))</f>
        <v/>
      </c>
      <c r="N145" s="10" t="e">
        <f t="shared" si="59"/>
        <v>#VALUE!</v>
      </c>
      <c r="O145" s="10" t="e">
        <f t="shared" si="60"/>
        <v>#VALUE!</v>
      </c>
      <c r="P145" s="10" t="e">
        <f t="shared" si="61"/>
        <v>#VALUE!</v>
      </c>
      <c r="Q145" s="23" t="e">
        <f>IF(AND(P145&gt;0,Inputs!$C$6&gt;0),P145/Inputs!$C$6*Inputs!$C$7,"")</f>
        <v>#VALUE!</v>
      </c>
      <c r="R145" s="23" t="str">
        <f>IF(C145="BC",'Rate Model'!$C$19,IF(C145="DBM",'Rate Model'!$E$19,""))</f>
        <v/>
      </c>
      <c r="S145" s="11" t="e">
        <f t="shared" si="62"/>
        <v>#VALUE!</v>
      </c>
      <c r="T145" s="11" t="str">
        <f>IF(A145&lt;&gt;"",Inputs!$C$47,"")</f>
        <v/>
      </c>
      <c r="U145" s="11" t="str">
        <f>IF(A145&lt;&gt;"",Inputs!$C$48,"")</f>
        <v/>
      </c>
      <c r="V145" s="11">
        <v>2</v>
      </c>
      <c r="W145" s="11" t="str">
        <f>IF(A145&lt;&gt;"",Inputs!$C$49,"")</f>
        <v/>
      </c>
      <c r="X145" s="23">
        <v>0</v>
      </c>
      <c r="Y145" s="23" t="e">
        <f t="shared" si="63"/>
        <v>#VALUE!</v>
      </c>
      <c r="Z145" s="23" t="e">
        <f t="shared" si="64"/>
        <v>#VALUE!</v>
      </c>
      <c r="AA145" s="5" t="str">
        <f>IF(A145&lt;&gt;"",Inputs!$C$57,"")</f>
        <v/>
      </c>
      <c r="AB145" s="6" t="e">
        <f t="shared" si="65"/>
        <v>#VALUE!</v>
      </c>
      <c r="AC145" s="6"/>
      <c r="AD145" s="23"/>
      <c r="AE145" s="23">
        <f>IF(AND(J145&gt;0,AC145&gt;0),J145*AC145*Inputs!$C$71,0)</f>
        <v>0</v>
      </c>
      <c r="AF145" s="23">
        <f>IF(AND(J145&gt;0,AD145&gt;0),J145*AD145*Inputs!$C$72,0)</f>
        <v>0</v>
      </c>
      <c r="AG145" s="23" t="e">
        <f t="shared" si="66"/>
        <v>#VALUE!</v>
      </c>
      <c r="AH145" s="23" t="e">
        <f t="shared" si="67"/>
        <v>#VALUE!</v>
      </c>
      <c r="AI145" s="23" t="e">
        <f t="shared" si="68"/>
        <v>#VALUE!</v>
      </c>
      <c r="AJ145" s="23" t="e">
        <f t="shared" si="69"/>
        <v>#VALUE!</v>
      </c>
    </row>
    <row r="146" spans="1:36" x14ac:dyDescent="0.2">
      <c r="A146" s="6"/>
      <c r="B146" s="6"/>
      <c r="C146" s="6"/>
      <c r="D146" s="6"/>
      <c r="E146" s="11"/>
      <c r="F146" s="11"/>
      <c r="G146" s="11"/>
      <c r="H146" s="11"/>
      <c r="I146" s="10" t="str">
        <f t="shared" si="56"/>
        <v/>
      </c>
      <c r="J146" s="10" t="str">
        <f t="shared" si="57"/>
        <v/>
      </c>
      <c r="K146" s="14" t="str">
        <f t="shared" si="58"/>
        <v/>
      </c>
      <c r="L146" s="10" t="str">
        <f>IF(C146="BC",'Mix Design'!$B$9,IF(C146="DBM",'Mix Design'!$C$9,""))</f>
        <v/>
      </c>
      <c r="M146" s="10" t="str">
        <f>IF(C146="BC",Inputs!$C$17,IF(C146="DBM",Inputs!$C$18,""))</f>
        <v/>
      </c>
      <c r="N146" s="10" t="e">
        <f t="shared" si="59"/>
        <v>#VALUE!</v>
      </c>
      <c r="O146" s="10" t="e">
        <f t="shared" si="60"/>
        <v>#VALUE!</v>
      </c>
      <c r="P146" s="10" t="e">
        <f t="shared" si="61"/>
        <v>#VALUE!</v>
      </c>
      <c r="Q146" s="23" t="e">
        <f>IF(AND(P146&gt;0,Inputs!$C$6&gt;0),P146/Inputs!$C$6*Inputs!$C$7,"")</f>
        <v>#VALUE!</v>
      </c>
      <c r="R146" s="23" t="str">
        <f>IF(C146="BC",'Rate Model'!$C$19,IF(C146="DBM",'Rate Model'!$E$19,""))</f>
        <v/>
      </c>
      <c r="S146" s="11" t="e">
        <f t="shared" si="62"/>
        <v>#VALUE!</v>
      </c>
      <c r="T146" s="11" t="str">
        <f>IF(A146&lt;&gt;"",Inputs!$C$47,"")</f>
        <v/>
      </c>
      <c r="U146" s="11" t="str">
        <f>IF(A146&lt;&gt;"",Inputs!$C$48,"")</f>
        <v/>
      </c>
      <c r="V146" s="11">
        <v>2</v>
      </c>
      <c r="W146" s="11" t="str">
        <f>IF(A146&lt;&gt;"",Inputs!$C$49,"")</f>
        <v/>
      </c>
      <c r="X146" s="23">
        <v>0</v>
      </c>
      <c r="Y146" s="23" t="e">
        <f t="shared" si="63"/>
        <v>#VALUE!</v>
      </c>
      <c r="Z146" s="23" t="e">
        <f t="shared" si="64"/>
        <v>#VALUE!</v>
      </c>
      <c r="AA146" s="5" t="str">
        <f>IF(A146&lt;&gt;"",Inputs!$C$57,"")</f>
        <v/>
      </c>
      <c r="AB146" s="6" t="e">
        <f t="shared" si="65"/>
        <v>#VALUE!</v>
      </c>
      <c r="AC146" s="6"/>
      <c r="AD146" s="23"/>
      <c r="AE146" s="23">
        <f>IF(AND(J146&gt;0,AC146&gt;0),J146*AC146*Inputs!$C$71,0)</f>
        <v>0</v>
      </c>
      <c r="AF146" s="23">
        <f>IF(AND(J146&gt;0,AD146&gt;0),J146*AD146*Inputs!$C$72,0)</f>
        <v>0</v>
      </c>
      <c r="AG146" s="23" t="e">
        <f t="shared" si="66"/>
        <v>#VALUE!</v>
      </c>
      <c r="AH146" s="23" t="e">
        <f t="shared" si="67"/>
        <v>#VALUE!</v>
      </c>
      <c r="AI146" s="23" t="e">
        <f t="shared" si="68"/>
        <v>#VALUE!</v>
      </c>
      <c r="AJ146" s="23" t="e">
        <f t="shared" si="69"/>
        <v>#VALUE!</v>
      </c>
    </row>
    <row r="147" spans="1:36" x14ac:dyDescent="0.2">
      <c r="A147" s="6"/>
      <c r="B147" s="6"/>
      <c r="C147" s="6"/>
      <c r="D147" s="6"/>
      <c r="E147" s="11"/>
      <c r="F147" s="11"/>
      <c r="G147" s="11"/>
      <c r="H147" s="11"/>
      <c r="I147" s="10" t="str">
        <f t="shared" si="56"/>
        <v/>
      </c>
      <c r="J147" s="10" t="str">
        <f t="shared" si="57"/>
        <v/>
      </c>
      <c r="K147" s="14" t="str">
        <f t="shared" si="58"/>
        <v/>
      </c>
      <c r="L147" s="10" t="str">
        <f>IF(C147="BC",'Mix Design'!$B$9,IF(C147="DBM",'Mix Design'!$C$9,""))</f>
        <v/>
      </c>
      <c r="M147" s="10" t="str">
        <f>IF(C147="BC",Inputs!$C$17,IF(C147="DBM",Inputs!$C$18,""))</f>
        <v/>
      </c>
      <c r="N147" s="10" t="e">
        <f t="shared" si="59"/>
        <v>#VALUE!</v>
      </c>
      <c r="O147" s="10" t="e">
        <f t="shared" si="60"/>
        <v>#VALUE!</v>
      </c>
      <c r="P147" s="10" t="e">
        <f t="shared" si="61"/>
        <v>#VALUE!</v>
      </c>
      <c r="Q147" s="23" t="e">
        <f>IF(AND(P147&gt;0,Inputs!$C$6&gt;0),P147/Inputs!$C$6*Inputs!$C$7,"")</f>
        <v>#VALUE!</v>
      </c>
      <c r="R147" s="23" t="str">
        <f>IF(C147="BC",'Rate Model'!$C$19,IF(C147="DBM",'Rate Model'!$E$19,""))</f>
        <v/>
      </c>
      <c r="S147" s="11" t="e">
        <f t="shared" si="62"/>
        <v>#VALUE!</v>
      </c>
      <c r="T147" s="11" t="str">
        <f>IF(A147&lt;&gt;"",Inputs!$C$47,"")</f>
        <v/>
      </c>
      <c r="U147" s="11" t="str">
        <f>IF(A147&lt;&gt;"",Inputs!$C$48,"")</f>
        <v/>
      </c>
      <c r="V147" s="11">
        <v>2</v>
      </c>
      <c r="W147" s="11" t="str">
        <f>IF(A147&lt;&gt;"",Inputs!$C$49,"")</f>
        <v/>
      </c>
      <c r="X147" s="23">
        <v>0</v>
      </c>
      <c r="Y147" s="23" t="e">
        <f t="shared" si="63"/>
        <v>#VALUE!</v>
      </c>
      <c r="Z147" s="23" t="e">
        <f t="shared" si="64"/>
        <v>#VALUE!</v>
      </c>
      <c r="AA147" s="5" t="str">
        <f>IF(A147&lt;&gt;"",Inputs!$C$57,"")</f>
        <v/>
      </c>
      <c r="AB147" s="6" t="e">
        <f t="shared" si="65"/>
        <v>#VALUE!</v>
      </c>
      <c r="AC147" s="6"/>
      <c r="AD147" s="23"/>
      <c r="AE147" s="23">
        <f>IF(AND(J147&gt;0,AC147&gt;0),J147*AC147*Inputs!$C$71,0)</f>
        <v>0</v>
      </c>
      <c r="AF147" s="23">
        <f>IF(AND(J147&gt;0,AD147&gt;0),J147*AD147*Inputs!$C$72,0)</f>
        <v>0</v>
      </c>
      <c r="AG147" s="23" t="e">
        <f t="shared" si="66"/>
        <v>#VALUE!</v>
      </c>
      <c r="AH147" s="23" t="e">
        <f t="shared" si="67"/>
        <v>#VALUE!</v>
      </c>
      <c r="AI147" s="23" t="e">
        <f t="shared" si="68"/>
        <v>#VALUE!</v>
      </c>
      <c r="AJ147" s="23" t="e">
        <f t="shared" si="69"/>
        <v>#VALUE!</v>
      </c>
    </row>
    <row r="148" spans="1:36" x14ac:dyDescent="0.2">
      <c r="A148" s="6"/>
      <c r="B148" s="6"/>
      <c r="C148" s="6"/>
      <c r="D148" s="6"/>
      <c r="E148" s="11"/>
      <c r="F148" s="11"/>
      <c r="G148" s="11"/>
      <c r="H148" s="11"/>
      <c r="I148" s="10" t="str">
        <f t="shared" si="56"/>
        <v/>
      </c>
      <c r="J148" s="10" t="str">
        <f t="shared" si="57"/>
        <v/>
      </c>
      <c r="K148" s="14" t="str">
        <f t="shared" si="58"/>
        <v/>
      </c>
      <c r="L148" s="10" t="str">
        <f>IF(C148="BC",'Mix Design'!$B$9,IF(C148="DBM",'Mix Design'!$C$9,""))</f>
        <v/>
      </c>
      <c r="M148" s="10" t="str">
        <f>IF(C148="BC",Inputs!$C$17,IF(C148="DBM",Inputs!$C$18,""))</f>
        <v/>
      </c>
      <c r="N148" s="10" t="e">
        <f t="shared" si="59"/>
        <v>#VALUE!</v>
      </c>
      <c r="O148" s="10" t="e">
        <f t="shared" si="60"/>
        <v>#VALUE!</v>
      </c>
      <c r="P148" s="10" t="e">
        <f t="shared" si="61"/>
        <v>#VALUE!</v>
      </c>
      <c r="Q148" s="23" t="e">
        <f>IF(AND(P148&gt;0,Inputs!$C$6&gt;0),P148/Inputs!$C$6*Inputs!$C$7,"")</f>
        <v>#VALUE!</v>
      </c>
      <c r="R148" s="23" t="str">
        <f>IF(C148="BC",'Rate Model'!$C$19,IF(C148="DBM",'Rate Model'!$E$19,""))</f>
        <v/>
      </c>
      <c r="S148" s="11" t="e">
        <f t="shared" si="62"/>
        <v>#VALUE!</v>
      </c>
      <c r="T148" s="11" t="str">
        <f>IF(A148&lt;&gt;"",Inputs!$C$47,"")</f>
        <v/>
      </c>
      <c r="U148" s="11" t="str">
        <f>IF(A148&lt;&gt;"",Inputs!$C$48,"")</f>
        <v/>
      </c>
      <c r="V148" s="11">
        <v>2</v>
      </c>
      <c r="W148" s="11" t="str">
        <f>IF(A148&lt;&gt;"",Inputs!$C$49,"")</f>
        <v/>
      </c>
      <c r="X148" s="23">
        <v>0</v>
      </c>
      <c r="Y148" s="23" t="e">
        <f t="shared" si="63"/>
        <v>#VALUE!</v>
      </c>
      <c r="Z148" s="23" t="e">
        <f t="shared" si="64"/>
        <v>#VALUE!</v>
      </c>
      <c r="AA148" s="5" t="str">
        <f>IF(A148&lt;&gt;"",Inputs!$C$57,"")</f>
        <v/>
      </c>
      <c r="AB148" s="6" t="e">
        <f t="shared" si="65"/>
        <v>#VALUE!</v>
      </c>
      <c r="AC148" s="6"/>
      <c r="AD148" s="23"/>
      <c r="AE148" s="23">
        <f>IF(AND(J148&gt;0,AC148&gt;0),J148*AC148*Inputs!$C$71,0)</f>
        <v>0</v>
      </c>
      <c r="AF148" s="23">
        <f>IF(AND(J148&gt;0,AD148&gt;0),J148*AD148*Inputs!$C$72,0)</f>
        <v>0</v>
      </c>
      <c r="AG148" s="23" t="e">
        <f t="shared" si="66"/>
        <v>#VALUE!</v>
      </c>
      <c r="AH148" s="23" t="e">
        <f t="shared" si="67"/>
        <v>#VALUE!</v>
      </c>
      <c r="AI148" s="23" t="e">
        <f t="shared" si="68"/>
        <v>#VALUE!</v>
      </c>
      <c r="AJ148" s="23" t="e">
        <f t="shared" si="69"/>
        <v>#VALUE!</v>
      </c>
    </row>
    <row r="149" spans="1:36" x14ac:dyDescent="0.2">
      <c r="A149" s="6"/>
      <c r="B149" s="6"/>
      <c r="C149" s="6"/>
      <c r="D149" s="6"/>
      <c r="E149" s="11"/>
      <c r="F149" s="11"/>
      <c r="G149" s="11"/>
      <c r="H149" s="11"/>
      <c r="I149" s="10" t="str">
        <f t="shared" si="56"/>
        <v/>
      </c>
      <c r="J149" s="10" t="str">
        <f t="shared" si="57"/>
        <v/>
      </c>
      <c r="K149" s="14" t="str">
        <f t="shared" si="58"/>
        <v/>
      </c>
      <c r="L149" s="10" t="str">
        <f>IF(C149="BC",'Mix Design'!$B$9,IF(C149="DBM",'Mix Design'!$C$9,""))</f>
        <v/>
      </c>
      <c r="M149" s="10" t="str">
        <f>IF(C149="BC",Inputs!$C$17,IF(C149="DBM",Inputs!$C$18,""))</f>
        <v/>
      </c>
      <c r="N149" s="10" t="e">
        <f t="shared" si="59"/>
        <v>#VALUE!</v>
      </c>
      <c r="O149" s="10" t="e">
        <f t="shared" si="60"/>
        <v>#VALUE!</v>
      </c>
      <c r="P149" s="10" t="e">
        <f t="shared" si="61"/>
        <v>#VALUE!</v>
      </c>
      <c r="Q149" s="23" t="e">
        <f>IF(AND(P149&gt;0,Inputs!$C$6&gt;0),P149/Inputs!$C$6*Inputs!$C$7,"")</f>
        <v>#VALUE!</v>
      </c>
      <c r="R149" s="23" t="str">
        <f>IF(C149="BC",'Rate Model'!$C$19,IF(C149="DBM",'Rate Model'!$E$19,""))</f>
        <v/>
      </c>
      <c r="S149" s="11" t="e">
        <f t="shared" si="62"/>
        <v>#VALUE!</v>
      </c>
      <c r="T149" s="11" t="str">
        <f>IF(A149&lt;&gt;"",Inputs!$C$47,"")</f>
        <v/>
      </c>
      <c r="U149" s="11" t="str">
        <f>IF(A149&lt;&gt;"",Inputs!$C$48,"")</f>
        <v/>
      </c>
      <c r="V149" s="11">
        <v>2</v>
      </c>
      <c r="W149" s="11" t="str">
        <f>IF(A149&lt;&gt;"",Inputs!$C$49,"")</f>
        <v/>
      </c>
      <c r="X149" s="23">
        <v>0</v>
      </c>
      <c r="Y149" s="23" t="e">
        <f t="shared" si="63"/>
        <v>#VALUE!</v>
      </c>
      <c r="Z149" s="23" t="e">
        <f t="shared" si="64"/>
        <v>#VALUE!</v>
      </c>
      <c r="AA149" s="5" t="str">
        <f>IF(A149&lt;&gt;"",Inputs!$C$57,"")</f>
        <v/>
      </c>
      <c r="AB149" s="6" t="e">
        <f t="shared" si="65"/>
        <v>#VALUE!</v>
      </c>
      <c r="AC149" s="6"/>
      <c r="AD149" s="23"/>
      <c r="AE149" s="23">
        <f>IF(AND(J149&gt;0,AC149&gt;0),J149*AC149*Inputs!$C$71,0)</f>
        <v>0</v>
      </c>
      <c r="AF149" s="23">
        <f>IF(AND(J149&gt;0,AD149&gt;0),J149*AD149*Inputs!$C$72,0)</f>
        <v>0</v>
      </c>
      <c r="AG149" s="23" t="e">
        <f t="shared" si="66"/>
        <v>#VALUE!</v>
      </c>
      <c r="AH149" s="23" t="e">
        <f t="shared" si="67"/>
        <v>#VALUE!</v>
      </c>
      <c r="AI149" s="23" t="e">
        <f t="shared" si="68"/>
        <v>#VALUE!</v>
      </c>
      <c r="AJ149" s="23" t="e">
        <f t="shared" si="69"/>
        <v>#VALUE!</v>
      </c>
    </row>
    <row r="150" spans="1:36" x14ac:dyDescent="0.2">
      <c r="A150" s="6"/>
      <c r="B150" s="6"/>
      <c r="C150" s="6"/>
      <c r="D150" s="6"/>
      <c r="E150" s="11"/>
      <c r="F150" s="11"/>
      <c r="G150" s="11"/>
      <c r="H150" s="11"/>
      <c r="I150" s="10" t="str">
        <f t="shared" si="56"/>
        <v/>
      </c>
      <c r="J150" s="10" t="str">
        <f t="shared" si="57"/>
        <v/>
      </c>
      <c r="K150" s="14" t="str">
        <f t="shared" si="58"/>
        <v/>
      </c>
      <c r="L150" s="10" t="str">
        <f>IF(C150="BC",'Mix Design'!$B$9,IF(C150="DBM",'Mix Design'!$C$9,""))</f>
        <v/>
      </c>
      <c r="M150" s="10" t="str">
        <f>IF(C150="BC",Inputs!$C$17,IF(C150="DBM",Inputs!$C$18,""))</f>
        <v/>
      </c>
      <c r="N150" s="10" t="e">
        <f t="shared" si="59"/>
        <v>#VALUE!</v>
      </c>
      <c r="O150" s="10" t="e">
        <f t="shared" si="60"/>
        <v>#VALUE!</v>
      </c>
      <c r="P150" s="10" t="e">
        <f t="shared" si="61"/>
        <v>#VALUE!</v>
      </c>
      <c r="Q150" s="23" t="e">
        <f>IF(AND(P150&gt;0,Inputs!$C$6&gt;0),P150/Inputs!$C$6*Inputs!$C$7,"")</f>
        <v>#VALUE!</v>
      </c>
      <c r="R150" s="23" t="str">
        <f>IF(C150="BC",'Rate Model'!$C$19,IF(C150="DBM",'Rate Model'!$E$19,""))</f>
        <v/>
      </c>
      <c r="S150" s="11" t="e">
        <f t="shared" si="62"/>
        <v>#VALUE!</v>
      </c>
      <c r="T150" s="11" t="str">
        <f>IF(A150&lt;&gt;"",Inputs!$C$47,"")</f>
        <v/>
      </c>
      <c r="U150" s="11" t="str">
        <f>IF(A150&lt;&gt;"",Inputs!$C$48,"")</f>
        <v/>
      </c>
      <c r="V150" s="11">
        <v>2</v>
      </c>
      <c r="W150" s="11" t="str">
        <f>IF(A150&lt;&gt;"",Inputs!$C$49,"")</f>
        <v/>
      </c>
      <c r="X150" s="23">
        <v>0</v>
      </c>
      <c r="Y150" s="23" t="e">
        <f t="shared" si="63"/>
        <v>#VALUE!</v>
      </c>
      <c r="Z150" s="23" t="e">
        <f t="shared" si="64"/>
        <v>#VALUE!</v>
      </c>
      <c r="AA150" s="5" t="str">
        <f>IF(A150&lt;&gt;"",Inputs!$C$57,"")</f>
        <v/>
      </c>
      <c r="AB150" s="6" t="e">
        <f t="shared" si="65"/>
        <v>#VALUE!</v>
      </c>
      <c r="AC150" s="6"/>
      <c r="AD150" s="23"/>
      <c r="AE150" s="23">
        <f>IF(AND(J150&gt;0,AC150&gt;0),J150*AC150*Inputs!$C$71,0)</f>
        <v>0</v>
      </c>
      <c r="AF150" s="23">
        <f>IF(AND(J150&gt;0,AD150&gt;0),J150*AD150*Inputs!$C$72,0)</f>
        <v>0</v>
      </c>
      <c r="AG150" s="23" t="e">
        <f t="shared" si="66"/>
        <v>#VALUE!</v>
      </c>
      <c r="AH150" s="23" t="e">
        <f t="shared" si="67"/>
        <v>#VALUE!</v>
      </c>
      <c r="AI150" s="23" t="e">
        <f t="shared" si="68"/>
        <v>#VALUE!</v>
      </c>
      <c r="AJ150" s="23" t="e">
        <f t="shared" si="69"/>
        <v>#VALUE!</v>
      </c>
    </row>
    <row r="151" spans="1:36" x14ac:dyDescent="0.2">
      <c r="A151" s="6"/>
      <c r="B151" s="6"/>
      <c r="C151" s="6"/>
      <c r="D151" s="6"/>
      <c r="E151" s="11"/>
      <c r="F151" s="11"/>
      <c r="G151" s="11"/>
      <c r="H151" s="11"/>
      <c r="I151" s="10" t="str">
        <f t="shared" si="56"/>
        <v/>
      </c>
      <c r="J151" s="10" t="str">
        <f t="shared" si="57"/>
        <v/>
      </c>
      <c r="K151" s="14" t="str">
        <f t="shared" si="58"/>
        <v/>
      </c>
      <c r="L151" s="10" t="str">
        <f>IF(C151="BC",'Mix Design'!$B$9,IF(C151="DBM",'Mix Design'!$C$9,""))</f>
        <v/>
      </c>
      <c r="M151" s="10" t="str">
        <f>IF(C151="BC",Inputs!$C$17,IF(C151="DBM",Inputs!$C$18,""))</f>
        <v/>
      </c>
      <c r="N151" s="10" t="e">
        <f t="shared" si="59"/>
        <v>#VALUE!</v>
      </c>
      <c r="O151" s="10" t="e">
        <f t="shared" si="60"/>
        <v>#VALUE!</v>
      </c>
      <c r="P151" s="10" t="e">
        <f t="shared" si="61"/>
        <v>#VALUE!</v>
      </c>
      <c r="Q151" s="23" t="e">
        <f>IF(AND(P151&gt;0,Inputs!$C$6&gt;0),P151/Inputs!$C$6*Inputs!$C$7,"")</f>
        <v>#VALUE!</v>
      </c>
      <c r="R151" s="23" t="str">
        <f>IF(C151="BC",'Rate Model'!$C$19,IF(C151="DBM",'Rate Model'!$E$19,""))</f>
        <v/>
      </c>
      <c r="S151" s="11" t="e">
        <f t="shared" si="62"/>
        <v>#VALUE!</v>
      </c>
      <c r="T151" s="11" t="str">
        <f>IF(A151&lt;&gt;"",Inputs!$C$47,"")</f>
        <v/>
      </c>
      <c r="U151" s="11" t="str">
        <f>IF(A151&lt;&gt;"",Inputs!$C$48,"")</f>
        <v/>
      </c>
      <c r="V151" s="11">
        <v>2</v>
      </c>
      <c r="W151" s="11" t="str">
        <f>IF(A151&lt;&gt;"",Inputs!$C$49,"")</f>
        <v/>
      </c>
      <c r="X151" s="23">
        <v>0</v>
      </c>
      <c r="Y151" s="23" t="e">
        <f t="shared" si="63"/>
        <v>#VALUE!</v>
      </c>
      <c r="Z151" s="23" t="e">
        <f t="shared" si="64"/>
        <v>#VALUE!</v>
      </c>
      <c r="AA151" s="5" t="str">
        <f>IF(A151&lt;&gt;"",Inputs!$C$57,"")</f>
        <v/>
      </c>
      <c r="AB151" s="6" t="e">
        <f t="shared" si="65"/>
        <v>#VALUE!</v>
      </c>
      <c r="AC151" s="6"/>
      <c r="AD151" s="23"/>
      <c r="AE151" s="23">
        <f>IF(AND(J151&gt;0,AC151&gt;0),J151*AC151*Inputs!$C$71,0)</f>
        <v>0</v>
      </c>
      <c r="AF151" s="23">
        <f>IF(AND(J151&gt;0,AD151&gt;0),J151*AD151*Inputs!$C$72,0)</f>
        <v>0</v>
      </c>
      <c r="AG151" s="23" t="e">
        <f t="shared" si="66"/>
        <v>#VALUE!</v>
      </c>
      <c r="AH151" s="23" t="e">
        <f t="shared" si="67"/>
        <v>#VALUE!</v>
      </c>
      <c r="AI151" s="23" t="e">
        <f t="shared" si="68"/>
        <v>#VALUE!</v>
      </c>
      <c r="AJ151" s="23" t="e">
        <f t="shared" si="69"/>
        <v>#VALUE!</v>
      </c>
    </row>
    <row r="152" spans="1:36" x14ac:dyDescent="0.2">
      <c r="A152" s="6"/>
      <c r="B152" s="6"/>
      <c r="C152" s="6"/>
      <c r="D152" s="6"/>
      <c r="E152" s="11"/>
      <c r="F152" s="11"/>
      <c r="G152" s="11"/>
      <c r="H152" s="11"/>
      <c r="I152" s="10" t="str">
        <f t="shared" si="56"/>
        <v/>
      </c>
      <c r="J152" s="10" t="str">
        <f t="shared" si="57"/>
        <v/>
      </c>
      <c r="K152" s="14" t="str">
        <f t="shared" si="58"/>
        <v/>
      </c>
      <c r="L152" s="10" t="str">
        <f>IF(C152="BC",'Mix Design'!$B$9,IF(C152="DBM",'Mix Design'!$C$9,""))</f>
        <v/>
      </c>
      <c r="M152" s="10" t="str">
        <f>IF(C152="BC",Inputs!$C$17,IF(C152="DBM",Inputs!$C$18,""))</f>
        <v/>
      </c>
      <c r="N152" s="10" t="e">
        <f t="shared" si="59"/>
        <v>#VALUE!</v>
      </c>
      <c r="O152" s="10" t="e">
        <f t="shared" si="60"/>
        <v>#VALUE!</v>
      </c>
      <c r="P152" s="10" t="e">
        <f t="shared" si="61"/>
        <v>#VALUE!</v>
      </c>
      <c r="Q152" s="23" t="e">
        <f>IF(AND(P152&gt;0,Inputs!$C$6&gt;0),P152/Inputs!$C$6*Inputs!$C$7,"")</f>
        <v>#VALUE!</v>
      </c>
      <c r="R152" s="23" t="str">
        <f>IF(C152="BC",'Rate Model'!$C$19,IF(C152="DBM",'Rate Model'!$E$19,""))</f>
        <v/>
      </c>
      <c r="S152" s="11" t="e">
        <f t="shared" si="62"/>
        <v>#VALUE!</v>
      </c>
      <c r="T152" s="11" t="str">
        <f>IF(A152&lt;&gt;"",Inputs!$C$47,"")</f>
        <v/>
      </c>
      <c r="U152" s="11" t="str">
        <f>IF(A152&lt;&gt;"",Inputs!$C$48,"")</f>
        <v/>
      </c>
      <c r="V152" s="11">
        <v>2</v>
      </c>
      <c r="W152" s="11" t="str">
        <f>IF(A152&lt;&gt;"",Inputs!$C$49,"")</f>
        <v/>
      </c>
      <c r="X152" s="23">
        <v>0</v>
      </c>
      <c r="Y152" s="23" t="e">
        <f t="shared" si="63"/>
        <v>#VALUE!</v>
      </c>
      <c r="Z152" s="23" t="e">
        <f t="shared" si="64"/>
        <v>#VALUE!</v>
      </c>
      <c r="AA152" s="5" t="str">
        <f>IF(A152&lt;&gt;"",Inputs!$C$57,"")</f>
        <v/>
      </c>
      <c r="AB152" s="6" t="e">
        <f t="shared" si="65"/>
        <v>#VALUE!</v>
      </c>
      <c r="AC152" s="6"/>
      <c r="AD152" s="23"/>
      <c r="AE152" s="23">
        <f>IF(AND(J152&gt;0,AC152&gt;0),J152*AC152*Inputs!$C$71,0)</f>
        <v>0</v>
      </c>
      <c r="AF152" s="23">
        <f>IF(AND(J152&gt;0,AD152&gt;0),J152*AD152*Inputs!$C$72,0)</f>
        <v>0</v>
      </c>
      <c r="AG152" s="23" t="e">
        <f t="shared" si="66"/>
        <v>#VALUE!</v>
      </c>
      <c r="AH152" s="23" t="e">
        <f t="shared" si="67"/>
        <v>#VALUE!</v>
      </c>
      <c r="AI152" s="23" t="e">
        <f t="shared" si="68"/>
        <v>#VALUE!</v>
      </c>
      <c r="AJ152" s="23" t="e">
        <f t="shared" si="69"/>
        <v>#VALUE!</v>
      </c>
    </row>
    <row r="153" spans="1:36" x14ac:dyDescent="0.2">
      <c r="A153" s="6"/>
      <c r="B153" s="6"/>
      <c r="C153" s="6"/>
      <c r="D153" s="6"/>
      <c r="E153" s="11"/>
      <c r="F153" s="11"/>
      <c r="G153" s="11"/>
      <c r="H153" s="11"/>
      <c r="I153" s="10" t="str">
        <f t="shared" si="56"/>
        <v/>
      </c>
      <c r="J153" s="10" t="str">
        <f t="shared" si="57"/>
        <v/>
      </c>
      <c r="K153" s="14" t="str">
        <f t="shared" si="58"/>
        <v/>
      </c>
      <c r="L153" s="10" t="str">
        <f>IF(C153="BC",'Mix Design'!$B$9,IF(C153="DBM",'Mix Design'!$C$9,""))</f>
        <v/>
      </c>
      <c r="M153" s="10" t="str">
        <f>IF(C153="BC",Inputs!$C$17,IF(C153="DBM",Inputs!$C$18,""))</f>
        <v/>
      </c>
      <c r="N153" s="10" t="e">
        <f t="shared" si="59"/>
        <v>#VALUE!</v>
      </c>
      <c r="O153" s="10" t="e">
        <f t="shared" si="60"/>
        <v>#VALUE!</v>
      </c>
      <c r="P153" s="10" t="e">
        <f t="shared" si="61"/>
        <v>#VALUE!</v>
      </c>
      <c r="Q153" s="23" t="e">
        <f>IF(AND(P153&gt;0,Inputs!$C$6&gt;0),P153/Inputs!$C$6*Inputs!$C$7,"")</f>
        <v>#VALUE!</v>
      </c>
      <c r="R153" s="23" t="str">
        <f>IF(C153="BC",'Rate Model'!$C$19,IF(C153="DBM",'Rate Model'!$E$19,""))</f>
        <v/>
      </c>
      <c r="S153" s="11" t="e">
        <f t="shared" si="62"/>
        <v>#VALUE!</v>
      </c>
      <c r="T153" s="11" t="str">
        <f>IF(A153&lt;&gt;"",Inputs!$C$47,"")</f>
        <v/>
      </c>
      <c r="U153" s="11" t="str">
        <f>IF(A153&lt;&gt;"",Inputs!$C$48,"")</f>
        <v/>
      </c>
      <c r="V153" s="11">
        <v>2</v>
      </c>
      <c r="W153" s="11" t="str">
        <f>IF(A153&lt;&gt;"",Inputs!$C$49,"")</f>
        <v/>
      </c>
      <c r="X153" s="23">
        <v>0</v>
      </c>
      <c r="Y153" s="23" t="e">
        <f t="shared" si="63"/>
        <v>#VALUE!</v>
      </c>
      <c r="Z153" s="23" t="e">
        <f t="shared" si="64"/>
        <v>#VALUE!</v>
      </c>
      <c r="AA153" s="5" t="str">
        <f>IF(A153&lt;&gt;"",Inputs!$C$57,"")</f>
        <v/>
      </c>
      <c r="AB153" s="6" t="e">
        <f t="shared" si="65"/>
        <v>#VALUE!</v>
      </c>
      <c r="AC153" s="6"/>
      <c r="AD153" s="23"/>
      <c r="AE153" s="23">
        <f>IF(AND(J153&gt;0,AC153&gt;0),J153*AC153*Inputs!$C$71,0)</f>
        <v>0</v>
      </c>
      <c r="AF153" s="23">
        <f>IF(AND(J153&gt;0,AD153&gt;0),J153*AD153*Inputs!$C$72,0)</f>
        <v>0</v>
      </c>
      <c r="AG153" s="23" t="e">
        <f t="shared" si="66"/>
        <v>#VALUE!</v>
      </c>
      <c r="AH153" s="23" t="e">
        <f t="shared" si="67"/>
        <v>#VALUE!</v>
      </c>
      <c r="AI153" s="23" t="e">
        <f t="shared" si="68"/>
        <v>#VALUE!</v>
      </c>
      <c r="AJ153" s="23" t="e">
        <f t="shared" si="69"/>
        <v>#VALUE!</v>
      </c>
    </row>
    <row r="154" spans="1:36" x14ac:dyDescent="0.2">
      <c r="A154" s="6"/>
      <c r="B154" s="6"/>
      <c r="C154" s="6"/>
      <c r="D154" s="6"/>
      <c r="E154" s="11"/>
      <c r="F154" s="11"/>
      <c r="G154" s="11"/>
      <c r="H154" s="11"/>
      <c r="I154" s="10" t="str">
        <f t="shared" si="56"/>
        <v/>
      </c>
      <c r="J154" s="10" t="str">
        <f t="shared" si="57"/>
        <v/>
      </c>
      <c r="K154" s="14" t="str">
        <f t="shared" si="58"/>
        <v/>
      </c>
      <c r="L154" s="10" t="str">
        <f>IF(C154="BC",'Mix Design'!$B$9,IF(C154="DBM",'Mix Design'!$C$9,""))</f>
        <v/>
      </c>
      <c r="M154" s="10" t="str">
        <f>IF(C154="BC",Inputs!$C$17,IF(C154="DBM",Inputs!$C$18,""))</f>
        <v/>
      </c>
      <c r="N154" s="10" t="e">
        <f t="shared" si="59"/>
        <v>#VALUE!</v>
      </c>
      <c r="O154" s="10" t="e">
        <f t="shared" si="60"/>
        <v>#VALUE!</v>
      </c>
      <c r="P154" s="10" t="e">
        <f t="shared" si="61"/>
        <v>#VALUE!</v>
      </c>
      <c r="Q154" s="23" t="e">
        <f>IF(AND(P154&gt;0,Inputs!$C$6&gt;0),P154/Inputs!$C$6*Inputs!$C$7,"")</f>
        <v>#VALUE!</v>
      </c>
      <c r="R154" s="23" t="str">
        <f>IF(C154="BC",'Rate Model'!$C$19,IF(C154="DBM",'Rate Model'!$E$19,""))</f>
        <v/>
      </c>
      <c r="S154" s="11" t="e">
        <f t="shared" si="62"/>
        <v>#VALUE!</v>
      </c>
      <c r="T154" s="11" t="str">
        <f>IF(A154&lt;&gt;"",Inputs!$C$47,"")</f>
        <v/>
      </c>
      <c r="U154" s="11" t="str">
        <f>IF(A154&lt;&gt;"",Inputs!$C$48,"")</f>
        <v/>
      </c>
      <c r="V154" s="11">
        <v>2</v>
      </c>
      <c r="W154" s="11" t="str">
        <f>IF(A154&lt;&gt;"",Inputs!$C$49,"")</f>
        <v/>
      </c>
      <c r="X154" s="23">
        <v>0</v>
      </c>
      <c r="Y154" s="23" t="e">
        <f t="shared" si="63"/>
        <v>#VALUE!</v>
      </c>
      <c r="Z154" s="23" t="e">
        <f t="shared" si="64"/>
        <v>#VALUE!</v>
      </c>
      <c r="AA154" s="5" t="str">
        <f>IF(A154&lt;&gt;"",Inputs!$C$57,"")</f>
        <v/>
      </c>
      <c r="AB154" s="6" t="e">
        <f t="shared" si="65"/>
        <v>#VALUE!</v>
      </c>
      <c r="AC154" s="6"/>
      <c r="AD154" s="23"/>
      <c r="AE154" s="23">
        <f>IF(AND(J154&gt;0,AC154&gt;0),J154*AC154*Inputs!$C$71,0)</f>
        <v>0</v>
      </c>
      <c r="AF154" s="23">
        <f>IF(AND(J154&gt;0,AD154&gt;0),J154*AD154*Inputs!$C$72,0)</f>
        <v>0</v>
      </c>
      <c r="AG154" s="23" t="e">
        <f t="shared" si="66"/>
        <v>#VALUE!</v>
      </c>
      <c r="AH154" s="23" t="e">
        <f t="shared" si="67"/>
        <v>#VALUE!</v>
      </c>
      <c r="AI154" s="23" t="e">
        <f t="shared" si="68"/>
        <v>#VALUE!</v>
      </c>
      <c r="AJ154" s="23" t="e">
        <f t="shared" si="69"/>
        <v>#VALUE!</v>
      </c>
    </row>
    <row r="155" spans="1:36" x14ac:dyDescent="0.2">
      <c r="A155" s="6"/>
      <c r="B155" s="6"/>
      <c r="C155" s="6"/>
      <c r="D155" s="6"/>
      <c r="E155" s="11"/>
      <c r="F155" s="11"/>
      <c r="G155" s="11"/>
      <c r="H155" s="11"/>
      <c r="I155" s="10" t="str">
        <f t="shared" si="56"/>
        <v/>
      </c>
      <c r="J155" s="10" t="str">
        <f t="shared" si="57"/>
        <v/>
      </c>
      <c r="K155" s="14" t="str">
        <f t="shared" si="58"/>
        <v/>
      </c>
      <c r="L155" s="10" t="str">
        <f>IF(C155="BC",'Mix Design'!$B$9,IF(C155="DBM",'Mix Design'!$C$9,""))</f>
        <v/>
      </c>
      <c r="M155" s="10" t="str">
        <f>IF(C155="BC",Inputs!$C$17,IF(C155="DBM",Inputs!$C$18,""))</f>
        <v/>
      </c>
      <c r="N155" s="10" t="e">
        <f t="shared" si="59"/>
        <v>#VALUE!</v>
      </c>
      <c r="O155" s="10" t="e">
        <f t="shared" si="60"/>
        <v>#VALUE!</v>
      </c>
      <c r="P155" s="10" t="e">
        <f t="shared" si="61"/>
        <v>#VALUE!</v>
      </c>
      <c r="Q155" s="23" t="e">
        <f>IF(AND(P155&gt;0,Inputs!$C$6&gt;0),P155/Inputs!$C$6*Inputs!$C$7,"")</f>
        <v>#VALUE!</v>
      </c>
      <c r="R155" s="23" t="str">
        <f>IF(C155="BC",'Rate Model'!$C$19,IF(C155="DBM",'Rate Model'!$E$19,""))</f>
        <v/>
      </c>
      <c r="S155" s="11" t="e">
        <f t="shared" si="62"/>
        <v>#VALUE!</v>
      </c>
      <c r="T155" s="11" t="str">
        <f>IF(A155&lt;&gt;"",Inputs!$C$47,"")</f>
        <v/>
      </c>
      <c r="U155" s="11" t="str">
        <f>IF(A155&lt;&gt;"",Inputs!$C$48,"")</f>
        <v/>
      </c>
      <c r="V155" s="11">
        <v>2</v>
      </c>
      <c r="W155" s="11" t="str">
        <f>IF(A155&lt;&gt;"",Inputs!$C$49,"")</f>
        <v/>
      </c>
      <c r="X155" s="23">
        <v>0</v>
      </c>
      <c r="Y155" s="23" t="e">
        <f t="shared" si="63"/>
        <v>#VALUE!</v>
      </c>
      <c r="Z155" s="23" t="e">
        <f t="shared" si="64"/>
        <v>#VALUE!</v>
      </c>
      <c r="AA155" s="5" t="str">
        <f>IF(A155&lt;&gt;"",Inputs!$C$57,"")</f>
        <v/>
      </c>
      <c r="AB155" s="6" t="e">
        <f t="shared" si="65"/>
        <v>#VALUE!</v>
      </c>
      <c r="AC155" s="6"/>
      <c r="AD155" s="23"/>
      <c r="AE155" s="23">
        <f>IF(AND(J155&gt;0,AC155&gt;0),J155*AC155*Inputs!$C$71,0)</f>
        <v>0</v>
      </c>
      <c r="AF155" s="23">
        <f>IF(AND(J155&gt;0,AD155&gt;0),J155*AD155*Inputs!$C$72,0)</f>
        <v>0</v>
      </c>
      <c r="AG155" s="23" t="e">
        <f t="shared" si="66"/>
        <v>#VALUE!</v>
      </c>
      <c r="AH155" s="23" t="e">
        <f t="shared" si="67"/>
        <v>#VALUE!</v>
      </c>
      <c r="AI155" s="23" t="e">
        <f t="shared" si="68"/>
        <v>#VALUE!</v>
      </c>
      <c r="AJ155" s="23" t="e">
        <f t="shared" si="69"/>
        <v>#VALUE!</v>
      </c>
    </row>
    <row r="156" spans="1:36" x14ac:dyDescent="0.2">
      <c r="A156" s="6"/>
      <c r="B156" s="6"/>
      <c r="C156" s="6"/>
      <c r="D156" s="6"/>
      <c r="E156" s="11"/>
      <c r="F156" s="11"/>
      <c r="G156" s="11"/>
      <c r="H156" s="11"/>
      <c r="I156" s="10" t="str">
        <f t="shared" si="56"/>
        <v/>
      </c>
      <c r="J156" s="10" t="str">
        <f t="shared" si="57"/>
        <v/>
      </c>
      <c r="K156" s="14" t="str">
        <f t="shared" si="58"/>
        <v/>
      </c>
      <c r="L156" s="10" t="str">
        <f>IF(C156="BC",'Mix Design'!$B$9,IF(C156="DBM",'Mix Design'!$C$9,""))</f>
        <v/>
      </c>
      <c r="M156" s="10" t="str">
        <f>IF(C156="BC",Inputs!$C$17,IF(C156="DBM",Inputs!$C$18,""))</f>
        <v/>
      </c>
      <c r="N156" s="10" t="e">
        <f t="shared" si="59"/>
        <v>#VALUE!</v>
      </c>
      <c r="O156" s="10" t="e">
        <f t="shared" si="60"/>
        <v>#VALUE!</v>
      </c>
      <c r="P156" s="10" t="e">
        <f t="shared" si="61"/>
        <v>#VALUE!</v>
      </c>
      <c r="Q156" s="23" t="e">
        <f>IF(AND(P156&gt;0,Inputs!$C$6&gt;0),P156/Inputs!$C$6*Inputs!$C$7,"")</f>
        <v>#VALUE!</v>
      </c>
      <c r="R156" s="23" t="str">
        <f>IF(C156="BC",'Rate Model'!$C$19,IF(C156="DBM",'Rate Model'!$E$19,""))</f>
        <v/>
      </c>
      <c r="S156" s="11" t="e">
        <f t="shared" si="62"/>
        <v>#VALUE!</v>
      </c>
      <c r="T156" s="11" t="str">
        <f>IF(A156&lt;&gt;"",Inputs!$C$47,"")</f>
        <v/>
      </c>
      <c r="U156" s="11" t="str">
        <f>IF(A156&lt;&gt;"",Inputs!$C$48,"")</f>
        <v/>
      </c>
      <c r="V156" s="11">
        <v>2</v>
      </c>
      <c r="W156" s="11" t="str">
        <f>IF(A156&lt;&gt;"",Inputs!$C$49,"")</f>
        <v/>
      </c>
      <c r="X156" s="23">
        <v>0</v>
      </c>
      <c r="Y156" s="23" t="e">
        <f t="shared" si="63"/>
        <v>#VALUE!</v>
      </c>
      <c r="Z156" s="23" t="e">
        <f t="shared" si="64"/>
        <v>#VALUE!</v>
      </c>
      <c r="AA156" s="5" t="str">
        <f>IF(A156&lt;&gt;"",Inputs!$C$57,"")</f>
        <v/>
      </c>
      <c r="AB156" s="6" t="e">
        <f t="shared" si="65"/>
        <v>#VALUE!</v>
      </c>
      <c r="AC156" s="6"/>
      <c r="AD156" s="23"/>
      <c r="AE156" s="23">
        <f>IF(AND(J156&gt;0,AC156&gt;0),J156*AC156*Inputs!$C$71,0)</f>
        <v>0</v>
      </c>
      <c r="AF156" s="23">
        <f>IF(AND(J156&gt;0,AD156&gt;0),J156*AD156*Inputs!$C$72,0)</f>
        <v>0</v>
      </c>
      <c r="AG156" s="23" t="e">
        <f t="shared" si="66"/>
        <v>#VALUE!</v>
      </c>
      <c r="AH156" s="23" t="e">
        <f t="shared" si="67"/>
        <v>#VALUE!</v>
      </c>
      <c r="AI156" s="23" t="e">
        <f t="shared" si="68"/>
        <v>#VALUE!</v>
      </c>
      <c r="AJ156" s="23" t="e">
        <f t="shared" si="69"/>
        <v>#VALUE!</v>
      </c>
    </row>
    <row r="157" spans="1:36" x14ac:dyDescent="0.2">
      <c r="A157" s="6"/>
      <c r="B157" s="6"/>
      <c r="C157" s="6"/>
      <c r="D157" s="6"/>
      <c r="E157" s="11"/>
      <c r="F157" s="11"/>
      <c r="G157" s="11"/>
      <c r="H157" s="11"/>
      <c r="I157" s="10" t="str">
        <f t="shared" si="56"/>
        <v/>
      </c>
      <c r="J157" s="10" t="str">
        <f t="shared" si="57"/>
        <v/>
      </c>
      <c r="K157" s="14" t="str">
        <f t="shared" si="58"/>
        <v/>
      </c>
      <c r="L157" s="10" t="str">
        <f>IF(C157="BC",'Mix Design'!$B$9,IF(C157="DBM",'Mix Design'!$C$9,""))</f>
        <v/>
      </c>
      <c r="M157" s="10" t="str">
        <f>IF(C157="BC",Inputs!$C$17,IF(C157="DBM",Inputs!$C$18,""))</f>
        <v/>
      </c>
      <c r="N157" s="10" t="e">
        <f t="shared" si="59"/>
        <v>#VALUE!</v>
      </c>
      <c r="O157" s="10" t="e">
        <f t="shared" si="60"/>
        <v>#VALUE!</v>
      </c>
      <c r="P157" s="10" t="e">
        <f t="shared" si="61"/>
        <v>#VALUE!</v>
      </c>
      <c r="Q157" s="23" t="e">
        <f>IF(AND(P157&gt;0,Inputs!$C$6&gt;0),P157/Inputs!$C$6*Inputs!$C$7,"")</f>
        <v>#VALUE!</v>
      </c>
      <c r="R157" s="23" t="str">
        <f>IF(C157="BC",'Rate Model'!$C$19,IF(C157="DBM",'Rate Model'!$E$19,""))</f>
        <v/>
      </c>
      <c r="S157" s="11" t="e">
        <f t="shared" si="62"/>
        <v>#VALUE!</v>
      </c>
      <c r="T157" s="11" t="str">
        <f>IF(A157&lt;&gt;"",Inputs!$C$47,"")</f>
        <v/>
      </c>
      <c r="U157" s="11" t="str">
        <f>IF(A157&lt;&gt;"",Inputs!$C$48,"")</f>
        <v/>
      </c>
      <c r="V157" s="11">
        <v>2</v>
      </c>
      <c r="W157" s="11" t="str">
        <f>IF(A157&lt;&gt;"",Inputs!$C$49,"")</f>
        <v/>
      </c>
      <c r="X157" s="23">
        <v>0</v>
      </c>
      <c r="Y157" s="23" t="e">
        <f t="shared" si="63"/>
        <v>#VALUE!</v>
      </c>
      <c r="Z157" s="23" t="e">
        <f t="shared" si="64"/>
        <v>#VALUE!</v>
      </c>
      <c r="AA157" s="5" t="str">
        <f>IF(A157&lt;&gt;"",Inputs!$C$57,"")</f>
        <v/>
      </c>
      <c r="AB157" s="6" t="e">
        <f t="shared" si="65"/>
        <v>#VALUE!</v>
      </c>
      <c r="AC157" s="6"/>
      <c r="AD157" s="23"/>
      <c r="AE157" s="23">
        <f>IF(AND(J157&gt;0,AC157&gt;0),J157*AC157*Inputs!$C$71,0)</f>
        <v>0</v>
      </c>
      <c r="AF157" s="23">
        <f>IF(AND(J157&gt;0,AD157&gt;0),J157*AD157*Inputs!$C$72,0)</f>
        <v>0</v>
      </c>
      <c r="AG157" s="23" t="e">
        <f t="shared" si="66"/>
        <v>#VALUE!</v>
      </c>
      <c r="AH157" s="23" t="e">
        <f t="shared" si="67"/>
        <v>#VALUE!</v>
      </c>
      <c r="AI157" s="23" t="e">
        <f t="shared" si="68"/>
        <v>#VALUE!</v>
      </c>
      <c r="AJ157" s="23" t="e">
        <f t="shared" si="69"/>
        <v>#VALUE!</v>
      </c>
    </row>
    <row r="158" spans="1:36" x14ac:dyDescent="0.2">
      <c r="A158" s="6"/>
      <c r="B158" s="6"/>
      <c r="C158" s="6"/>
      <c r="D158" s="6"/>
      <c r="E158" s="11"/>
      <c r="F158" s="11"/>
      <c r="G158" s="11"/>
      <c r="H158" s="11"/>
      <c r="I158" s="10" t="str">
        <f t="shared" si="56"/>
        <v/>
      </c>
      <c r="J158" s="10" t="str">
        <f t="shared" si="57"/>
        <v/>
      </c>
      <c r="K158" s="14" t="str">
        <f t="shared" si="58"/>
        <v/>
      </c>
      <c r="L158" s="10" t="str">
        <f>IF(C158="BC",'Mix Design'!$B$9,IF(C158="DBM",'Mix Design'!$C$9,""))</f>
        <v/>
      </c>
      <c r="M158" s="10" t="str">
        <f>IF(C158="BC",Inputs!$C$17,IF(C158="DBM",Inputs!$C$18,""))</f>
        <v/>
      </c>
      <c r="N158" s="10" t="e">
        <f t="shared" si="59"/>
        <v>#VALUE!</v>
      </c>
      <c r="O158" s="10" t="e">
        <f t="shared" si="60"/>
        <v>#VALUE!</v>
      </c>
      <c r="P158" s="10" t="e">
        <f t="shared" si="61"/>
        <v>#VALUE!</v>
      </c>
      <c r="Q158" s="23" t="e">
        <f>IF(AND(P158&gt;0,Inputs!$C$6&gt;0),P158/Inputs!$C$6*Inputs!$C$7,"")</f>
        <v>#VALUE!</v>
      </c>
      <c r="R158" s="23" t="str">
        <f>IF(C158="BC",'Rate Model'!$C$19,IF(C158="DBM",'Rate Model'!$E$19,""))</f>
        <v/>
      </c>
      <c r="S158" s="11" t="e">
        <f t="shared" si="62"/>
        <v>#VALUE!</v>
      </c>
      <c r="T158" s="11" t="str">
        <f>IF(A158&lt;&gt;"",Inputs!$C$47,"")</f>
        <v/>
      </c>
      <c r="U158" s="11" t="str">
        <f>IF(A158&lt;&gt;"",Inputs!$C$48,"")</f>
        <v/>
      </c>
      <c r="V158" s="11">
        <v>2</v>
      </c>
      <c r="W158" s="11" t="str">
        <f>IF(A158&lt;&gt;"",Inputs!$C$49,"")</f>
        <v/>
      </c>
      <c r="X158" s="23">
        <v>0</v>
      </c>
      <c r="Y158" s="23" t="e">
        <f t="shared" si="63"/>
        <v>#VALUE!</v>
      </c>
      <c r="Z158" s="23" t="e">
        <f t="shared" si="64"/>
        <v>#VALUE!</v>
      </c>
      <c r="AA158" s="5" t="str">
        <f>IF(A158&lt;&gt;"",Inputs!$C$57,"")</f>
        <v/>
      </c>
      <c r="AB158" s="6" t="e">
        <f t="shared" si="65"/>
        <v>#VALUE!</v>
      </c>
      <c r="AC158" s="6"/>
      <c r="AD158" s="23"/>
      <c r="AE158" s="23">
        <f>IF(AND(J158&gt;0,AC158&gt;0),J158*AC158*Inputs!$C$71,0)</f>
        <v>0</v>
      </c>
      <c r="AF158" s="23">
        <f>IF(AND(J158&gt;0,AD158&gt;0),J158*AD158*Inputs!$C$72,0)</f>
        <v>0</v>
      </c>
      <c r="AG158" s="23" t="e">
        <f t="shared" si="66"/>
        <v>#VALUE!</v>
      </c>
      <c r="AH158" s="23" t="e">
        <f t="shared" si="67"/>
        <v>#VALUE!</v>
      </c>
      <c r="AI158" s="23" t="e">
        <f t="shared" si="68"/>
        <v>#VALUE!</v>
      </c>
      <c r="AJ158" s="23" t="e">
        <f t="shared" si="69"/>
        <v>#VALUE!</v>
      </c>
    </row>
    <row r="159" spans="1:36" x14ac:dyDescent="0.2">
      <c r="A159" s="6"/>
      <c r="B159" s="6"/>
      <c r="C159" s="6"/>
      <c r="D159" s="6"/>
      <c r="E159" s="11"/>
      <c r="F159" s="11"/>
      <c r="G159" s="11"/>
      <c r="H159" s="11"/>
      <c r="I159" s="10" t="str">
        <f t="shared" si="56"/>
        <v/>
      </c>
      <c r="J159" s="10" t="str">
        <f t="shared" si="57"/>
        <v/>
      </c>
      <c r="K159" s="14" t="str">
        <f t="shared" si="58"/>
        <v/>
      </c>
      <c r="L159" s="10" t="str">
        <f>IF(C159="BC",'Mix Design'!$B$9,IF(C159="DBM",'Mix Design'!$C$9,""))</f>
        <v/>
      </c>
      <c r="M159" s="10" t="str">
        <f>IF(C159="BC",Inputs!$C$17,IF(C159="DBM",Inputs!$C$18,""))</f>
        <v/>
      </c>
      <c r="N159" s="10" t="e">
        <f t="shared" si="59"/>
        <v>#VALUE!</v>
      </c>
      <c r="O159" s="10" t="e">
        <f t="shared" si="60"/>
        <v>#VALUE!</v>
      </c>
      <c r="P159" s="10" t="e">
        <f t="shared" si="61"/>
        <v>#VALUE!</v>
      </c>
      <c r="Q159" s="23" t="e">
        <f>IF(AND(P159&gt;0,Inputs!$C$6&gt;0),P159/Inputs!$C$6*Inputs!$C$7,"")</f>
        <v>#VALUE!</v>
      </c>
      <c r="R159" s="23" t="str">
        <f>IF(C159="BC",'Rate Model'!$C$19,IF(C159="DBM",'Rate Model'!$E$19,""))</f>
        <v/>
      </c>
      <c r="S159" s="11" t="e">
        <f t="shared" si="62"/>
        <v>#VALUE!</v>
      </c>
      <c r="T159" s="11" t="str">
        <f>IF(A159&lt;&gt;"",Inputs!$C$47,"")</f>
        <v/>
      </c>
      <c r="U159" s="11" t="str">
        <f>IF(A159&lt;&gt;"",Inputs!$C$48,"")</f>
        <v/>
      </c>
      <c r="V159" s="11">
        <v>2</v>
      </c>
      <c r="W159" s="11" t="str">
        <f>IF(A159&lt;&gt;"",Inputs!$C$49,"")</f>
        <v/>
      </c>
      <c r="X159" s="23">
        <v>0</v>
      </c>
      <c r="Y159" s="23" t="e">
        <f t="shared" si="63"/>
        <v>#VALUE!</v>
      </c>
      <c r="Z159" s="23" t="e">
        <f t="shared" si="64"/>
        <v>#VALUE!</v>
      </c>
      <c r="AA159" s="5" t="str">
        <f>IF(A159&lt;&gt;"",Inputs!$C$57,"")</f>
        <v/>
      </c>
      <c r="AB159" s="6" t="e">
        <f t="shared" si="65"/>
        <v>#VALUE!</v>
      </c>
      <c r="AC159" s="6"/>
      <c r="AD159" s="23"/>
      <c r="AE159" s="23">
        <f>IF(AND(J159&gt;0,AC159&gt;0),J159*AC159*Inputs!$C$71,0)</f>
        <v>0</v>
      </c>
      <c r="AF159" s="23">
        <f>IF(AND(J159&gt;0,AD159&gt;0),J159*AD159*Inputs!$C$72,0)</f>
        <v>0</v>
      </c>
      <c r="AG159" s="23" t="e">
        <f t="shared" si="66"/>
        <v>#VALUE!</v>
      </c>
      <c r="AH159" s="23" t="e">
        <f t="shared" si="67"/>
        <v>#VALUE!</v>
      </c>
      <c r="AI159" s="23" t="e">
        <f t="shared" si="68"/>
        <v>#VALUE!</v>
      </c>
      <c r="AJ159" s="23" t="e">
        <f t="shared" si="69"/>
        <v>#VALUE!</v>
      </c>
    </row>
    <row r="160" spans="1:36" x14ac:dyDescent="0.2">
      <c r="A160" s="6"/>
      <c r="B160" s="6"/>
      <c r="C160" s="6"/>
      <c r="D160" s="6"/>
      <c r="E160" s="11"/>
      <c r="F160" s="11"/>
      <c r="G160" s="11"/>
      <c r="H160" s="11"/>
      <c r="I160" s="10" t="str">
        <f t="shared" si="56"/>
        <v/>
      </c>
      <c r="J160" s="10" t="str">
        <f t="shared" si="57"/>
        <v/>
      </c>
      <c r="K160" s="14" t="str">
        <f t="shared" si="58"/>
        <v/>
      </c>
      <c r="L160" s="10" t="str">
        <f>IF(C160="BC",'Mix Design'!$B$9,IF(C160="DBM",'Mix Design'!$C$9,""))</f>
        <v/>
      </c>
      <c r="M160" s="10" t="str">
        <f>IF(C160="BC",Inputs!$C$17,IF(C160="DBM",Inputs!$C$18,""))</f>
        <v/>
      </c>
      <c r="N160" s="10" t="e">
        <f t="shared" si="59"/>
        <v>#VALUE!</v>
      </c>
      <c r="O160" s="10" t="e">
        <f t="shared" si="60"/>
        <v>#VALUE!</v>
      </c>
      <c r="P160" s="10" t="e">
        <f t="shared" si="61"/>
        <v>#VALUE!</v>
      </c>
      <c r="Q160" s="23" t="e">
        <f>IF(AND(P160&gt;0,Inputs!$C$6&gt;0),P160/Inputs!$C$6*Inputs!$C$7,"")</f>
        <v>#VALUE!</v>
      </c>
      <c r="R160" s="23" t="str">
        <f>IF(C160="BC",'Rate Model'!$C$19,IF(C160="DBM",'Rate Model'!$E$19,""))</f>
        <v/>
      </c>
      <c r="S160" s="11" t="e">
        <f t="shared" si="62"/>
        <v>#VALUE!</v>
      </c>
      <c r="T160" s="11" t="str">
        <f>IF(A160&lt;&gt;"",Inputs!$C$47,"")</f>
        <v/>
      </c>
      <c r="U160" s="11" t="str">
        <f>IF(A160&lt;&gt;"",Inputs!$C$48,"")</f>
        <v/>
      </c>
      <c r="V160" s="11">
        <v>2</v>
      </c>
      <c r="W160" s="11" t="str">
        <f>IF(A160&lt;&gt;"",Inputs!$C$49,"")</f>
        <v/>
      </c>
      <c r="X160" s="23">
        <v>0</v>
      </c>
      <c r="Y160" s="23" t="e">
        <f t="shared" si="63"/>
        <v>#VALUE!</v>
      </c>
      <c r="Z160" s="23" t="e">
        <f t="shared" si="64"/>
        <v>#VALUE!</v>
      </c>
      <c r="AA160" s="5" t="str">
        <f>IF(A160&lt;&gt;"",Inputs!$C$57,"")</f>
        <v/>
      </c>
      <c r="AB160" s="6" t="e">
        <f t="shared" si="65"/>
        <v>#VALUE!</v>
      </c>
      <c r="AC160" s="6"/>
      <c r="AD160" s="23"/>
      <c r="AE160" s="23">
        <f>IF(AND(J160&gt;0,AC160&gt;0),J160*AC160*Inputs!$C$71,0)</f>
        <v>0</v>
      </c>
      <c r="AF160" s="23">
        <f>IF(AND(J160&gt;0,AD160&gt;0),J160*AD160*Inputs!$C$72,0)</f>
        <v>0</v>
      </c>
      <c r="AG160" s="23" t="e">
        <f t="shared" si="66"/>
        <v>#VALUE!</v>
      </c>
      <c r="AH160" s="23" t="e">
        <f t="shared" si="67"/>
        <v>#VALUE!</v>
      </c>
      <c r="AI160" s="23" t="e">
        <f t="shared" si="68"/>
        <v>#VALUE!</v>
      </c>
      <c r="AJ160" s="23" t="e">
        <f t="shared" si="69"/>
        <v>#VALUE!</v>
      </c>
    </row>
    <row r="161" spans="1:36" x14ac:dyDescent="0.2">
      <c r="A161" s="6"/>
      <c r="B161" s="6"/>
      <c r="C161" s="6"/>
      <c r="D161" s="6"/>
      <c r="E161" s="11"/>
      <c r="F161" s="11"/>
      <c r="G161" s="11"/>
      <c r="H161" s="11"/>
      <c r="I161" s="10" t="str">
        <f t="shared" si="56"/>
        <v/>
      </c>
      <c r="J161" s="10" t="str">
        <f t="shared" si="57"/>
        <v/>
      </c>
      <c r="K161" s="14" t="str">
        <f t="shared" si="58"/>
        <v/>
      </c>
      <c r="L161" s="10" t="str">
        <f>IF(C161="BC",'Mix Design'!$B$9,IF(C161="DBM",'Mix Design'!$C$9,""))</f>
        <v/>
      </c>
      <c r="M161" s="10" t="str">
        <f>IF(C161="BC",Inputs!$C$17,IF(C161="DBM",Inputs!$C$18,""))</f>
        <v/>
      </c>
      <c r="N161" s="10" t="e">
        <f t="shared" si="59"/>
        <v>#VALUE!</v>
      </c>
      <c r="O161" s="10" t="e">
        <f t="shared" si="60"/>
        <v>#VALUE!</v>
      </c>
      <c r="P161" s="10" t="e">
        <f t="shared" si="61"/>
        <v>#VALUE!</v>
      </c>
      <c r="Q161" s="23" t="e">
        <f>IF(AND(P161&gt;0,Inputs!$C$6&gt;0),P161/Inputs!$C$6*Inputs!$C$7,"")</f>
        <v>#VALUE!</v>
      </c>
      <c r="R161" s="23" t="str">
        <f>IF(C161="BC",'Rate Model'!$C$19,IF(C161="DBM",'Rate Model'!$E$19,""))</f>
        <v/>
      </c>
      <c r="S161" s="11" t="e">
        <f t="shared" si="62"/>
        <v>#VALUE!</v>
      </c>
      <c r="T161" s="11" t="str">
        <f>IF(A161&lt;&gt;"",Inputs!$C$47,"")</f>
        <v/>
      </c>
      <c r="U161" s="11" t="str">
        <f>IF(A161&lt;&gt;"",Inputs!$C$48,"")</f>
        <v/>
      </c>
      <c r="V161" s="11">
        <v>2</v>
      </c>
      <c r="W161" s="11" t="str">
        <f>IF(A161&lt;&gt;"",Inputs!$C$49,"")</f>
        <v/>
      </c>
      <c r="X161" s="23">
        <v>0</v>
      </c>
      <c r="Y161" s="23" t="e">
        <f t="shared" si="63"/>
        <v>#VALUE!</v>
      </c>
      <c r="Z161" s="23" t="e">
        <f t="shared" si="64"/>
        <v>#VALUE!</v>
      </c>
      <c r="AA161" s="5" t="str">
        <f>IF(A161&lt;&gt;"",Inputs!$C$57,"")</f>
        <v/>
      </c>
      <c r="AB161" s="6" t="e">
        <f t="shared" si="65"/>
        <v>#VALUE!</v>
      </c>
      <c r="AC161" s="6"/>
      <c r="AD161" s="23"/>
      <c r="AE161" s="23">
        <f>IF(AND(J161&gt;0,AC161&gt;0),J161*AC161*Inputs!$C$71,0)</f>
        <v>0</v>
      </c>
      <c r="AF161" s="23">
        <f>IF(AND(J161&gt;0,AD161&gt;0),J161*AD161*Inputs!$C$72,0)</f>
        <v>0</v>
      </c>
      <c r="AG161" s="23" t="e">
        <f t="shared" si="66"/>
        <v>#VALUE!</v>
      </c>
      <c r="AH161" s="23" t="e">
        <f t="shared" si="67"/>
        <v>#VALUE!</v>
      </c>
      <c r="AI161" s="23" t="e">
        <f t="shared" si="68"/>
        <v>#VALUE!</v>
      </c>
      <c r="AJ161" s="23" t="e">
        <f t="shared" si="69"/>
        <v>#VALUE!</v>
      </c>
    </row>
    <row r="162" spans="1:36" x14ac:dyDescent="0.2">
      <c r="A162" s="6"/>
      <c r="B162" s="6"/>
      <c r="C162" s="6"/>
      <c r="D162" s="6"/>
      <c r="E162" s="11"/>
      <c r="F162" s="11"/>
      <c r="G162" s="11"/>
      <c r="H162" s="11"/>
      <c r="I162" s="10" t="str">
        <f t="shared" si="56"/>
        <v/>
      </c>
      <c r="J162" s="10" t="str">
        <f t="shared" si="57"/>
        <v/>
      </c>
      <c r="K162" s="14" t="str">
        <f t="shared" si="58"/>
        <v/>
      </c>
      <c r="L162" s="10" t="str">
        <f>IF(C162="BC",'Mix Design'!$B$9,IF(C162="DBM",'Mix Design'!$C$9,""))</f>
        <v/>
      </c>
      <c r="M162" s="10" t="str">
        <f>IF(C162="BC",Inputs!$C$17,IF(C162="DBM",Inputs!$C$18,""))</f>
        <v/>
      </c>
      <c r="N162" s="10" t="e">
        <f t="shared" si="59"/>
        <v>#VALUE!</v>
      </c>
      <c r="O162" s="10" t="e">
        <f t="shared" si="60"/>
        <v>#VALUE!</v>
      </c>
      <c r="P162" s="10" t="e">
        <f t="shared" si="61"/>
        <v>#VALUE!</v>
      </c>
      <c r="Q162" s="23" t="e">
        <f>IF(AND(P162&gt;0,Inputs!$C$6&gt;0),P162/Inputs!$C$6*Inputs!$C$7,"")</f>
        <v>#VALUE!</v>
      </c>
      <c r="R162" s="23" t="str">
        <f>IF(C162="BC",'Rate Model'!$C$19,IF(C162="DBM",'Rate Model'!$E$19,""))</f>
        <v/>
      </c>
      <c r="S162" s="11" t="e">
        <f t="shared" si="62"/>
        <v>#VALUE!</v>
      </c>
      <c r="T162" s="11" t="str">
        <f>IF(A162&lt;&gt;"",Inputs!$C$47,"")</f>
        <v/>
      </c>
      <c r="U162" s="11" t="str">
        <f>IF(A162&lt;&gt;"",Inputs!$C$48,"")</f>
        <v/>
      </c>
      <c r="V162" s="11">
        <v>2</v>
      </c>
      <c r="W162" s="11" t="str">
        <f>IF(A162&lt;&gt;"",Inputs!$C$49,"")</f>
        <v/>
      </c>
      <c r="X162" s="23">
        <v>0</v>
      </c>
      <c r="Y162" s="23" t="e">
        <f t="shared" si="63"/>
        <v>#VALUE!</v>
      </c>
      <c r="Z162" s="23" t="e">
        <f t="shared" si="64"/>
        <v>#VALUE!</v>
      </c>
      <c r="AA162" s="5" t="str">
        <f>IF(A162&lt;&gt;"",Inputs!$C$57,"")</f>
        <v/>
      </c>
      <c r="AB162" s="6" t="e">
        <f t="shared" si="65"/>
        <v>#VALUE!</v>
      </c>
      <c r="AC162" s="6"/>
      <c r="AD162" s="23"/>
      <c r="AE162" s="23">
        <f>IF(AND(J162&gt;0,AC162&gt;0),J162*AC162*Inputs!$C$71,0)</f>
        <v>0</v>
      </c>
      <c r="AF162" s="23">
        <f>IF(AND(J162&gt;0,AD162&gt;0),J162*AD162*Inputs!$C$72,0)</f>
        <v>0</v>
      </c>
      <c r="AG162" s="23" t="e">
        <f t="shared" si="66"/>
        <v>#VALUE!</v>
      </c>
      <c r="AH162" s="23" t="e">
        <f t="shared" si="67"/>
        <v>#VALUE!</v>
      </c>
      <c r="AI162" s="23" t="e">
        <f t="shared" si="68"/>
        <v>#VALUE!</v>
      </c>
      <c r="AJ162" s="23" t="e">
        <f t="shared" si="69"/>
        <v>#VALUE!</v>
      </c>
    </row>
    <row r="163" spans="1:36" x14ac:dyDescent="0.2">
      <c r="A163" s="6"/>
      <c r="B163" s="6"/>
      <c r="C163" s="6"/>
      <c r="D163" s="6"/>
      <c r="E163" s="11"/>
      <c r="F163" s="11"/>
      <c r="G163" s="11"/>
      <c r="H163" s="11"/>
      <c r="I163" s="10" t="str">
        <f t="shared" si="56"/>
        <v/>
      </c>
      <c r="J163" s="10" t="str">
        <f t="shared" si="57"/>
        <v/>
      </c>
      <c r="K163" s="14" t="str">
        <f t="shared" si="58"/>
        <v/>
      </c>
      <c r="L163" s="10" t="str">
        <f>IF(C163="BC",'Mix Design'!$B$9,IF(C163="DBM",'Mix Design'!$C$9,""))</f>
        <v/>
      </c>
      <c r="M163" s="10" t="str">
        <f>IF(C163="BC",Inputs!$C$17,IF(C163="DBM",Inputs!$C$18,""))</f>
        <v/>
      </c>
      <c r="N163" s="10" t="e">
        <f t="shared" si="59"/>
        <v>#VALUE!</v>
      </c>
      <c r="O163" s="10" t="e">
        <f t="shared" si="60"/>
        <v>#VALUE!</v>
      </c>
      <c r="P163" s="10" t="e">
        <f t="shared" si="61"/>
        <v>#VALUE!</v>
      </c>
      <c r="Q163" s="23" t="e">
        <f>IF(AND(P163&gt;0,Inputs!$C$6&gt;0),P163/Inputs!$C$6*Inputs!$C$7,"")</f>
        <v>#VALUE!</v>
      </c>
      <c r="R163" s="23" t="str">
        <f>IF(C163="BC",'Rate Model'!$C$19,IF(C163="DBM",'Rate Model'!$E$19,""))</f>
        <v/>
      </c>
      <c r="S163" s="11" t="e">
        <f t="shared" si="62"/>
        <v>#VALUE!</v>
      </c>
      <c r="T163" s="11" t="str">
        <f>IF(A163&lt;&gt;"",Inputs!$C$47,"")</f>
        <v/>
      </c>
      <c r="U163" s="11" t="str">
        <f>IF(A163&lt;&gt;"",Inputs!$C$48,"")</f>
        <v/>
      </c>
      <c r="V163" s="11">
        <v>2</v>
      </c>
      <c r="W163" s="11" t="str">
        <f>IF(A163&lt;&gt;"",Inputs!$C$49,"")</f>
        <v/>
      </c>
      <c r="X163" s="23">
        <v>0</v>
      </c>
      <c r="Y163" s="23" t="e">
        <f t="shared" si="63"/>
        <v>#VALUE!</v>
      </c>
      <c r="Z163" s="23" t="e">
        <f t="shared" si="64"/>
        <v>#VALUE!</v>
      </c>
      <c r="AA163" s="5" t="str">
        <f>IF(A163&lt;&gt;"",Inputs!$C$57,"")</f>
        <v/>
      </c>
      <c r="AB163" s="6" t="e">
        <f t="shared" si="65"/>
        <v>#VALUE!</v>
      </c>
      <c r="AC163" s="6"/>
      <c r="AD163" s="23"/>
      <c r="AE163" s="23">
        <f>IF(AND(J163&gt;0,AC163&gt;0),J163*AC163*Inputs!$C$71,0)</f>
        <v>0</v>
      </c>
      <c r="AF163" s="23">
        <f>IF(AND(J163&gt;0,AD163&gt;0),J163*AD163*Inputs!$C$72,0)</f>
        <v>0</v>
      </c>
      <c r="AG163" s="23" t="e">
        <f t="shared" si="66"/>
        <v>#VALUE!</v>
      </c>
      <c r="AH163" s="23" t="e">
        <f t="shared" si="67"/>
        <v>#VALUE!</v>
      </c>
      <c r="AI163" s="23" t="e">
        <f t="shared" si="68"/>
        <v>#VALUE!</v>
      </c>
      <c r="AJ163" s="23" t="e">
        <f t="shared" si="69"/>
        <v>#VALUE!</v>
      </c>
    </row>
    <row r="164" spans="1:36" x14ac:dyDescent="0.2">
      <c r="A164" s="6"/>
      <c r="B164" s="6"/>
      <c r="C164" s="6"/>
      <c r="D164" s="6"/>
      <c r="E164" s="11"/>
      <c r="F164" s="11"/>
      <c r="G164" s="11"/>
      <c r="H164" s="11"/>
      <c r="I164" s="10" t="str">
        <f t="shared" ref="I164:I195" si="70">IF(D164="GEOMETRY",IF(AND(E164&gt;0,F164&gt;0,G164&gt;0),E164*F164*(G164/1000),""),IF(AND(H164&gt;0,G164&gt;0),H164,""))</f>
        <v/>
      </c>
      <c r="J164" s="10" t="str">
        <f t="shared" ref="J164:J195" si="71">IF(AND(I164&gt;0,G164&gt;0),I164/(G164/1000),"")</f>
        <v/>
      </c>
      <c r="K164" s="14" t="str">
        <f t="shared" ref="K164:K195" si="72">IF(AND(J164&gt;0,F164&gt;0),J164/F164,"")</f>
        <v/>
      </c>
      <c r="L164" s="10" t="str">
        <f>IF(C164="BC",'Mix Design'!$B$9,IF(C164="DBM",'Mix Design'!$C$9,""))</f>
        <v/>
      </c>
      <c r="M164" s="10" t="str">
        <f>IF(C164="BC",Inputs!$C$17,IF(C164="DBM",Inputs!$C$18,""))</f>
        <v/>
      </c>
      <c r="N164" s="10" t="e">
        <f t="shared" ref="N164:N195" si="73">IF(AND(I164&gt;0,M164&gt;0),I164*M164,"")</f>
        <v>#VALUE!</v>
      </c>
      <c r="O164" s="10" t="e">
        <f t="shared" ref="O164:O195" si="74">IF(AND(N164&gt;0,L164&gt;0),N164*L164,"")</f>
        <v>#VALUE!</v>
      </c>
      <c r="P164" s="10" t="e">
        <f t="shared" ref="P164:P195" si="75">IF(AND(N164&gt;0,O164&gt;0),N164-O164,"")</f>
        <v>#VALUE!</v>
      </c>
      <c r="Q164" s="23" t="e">
        <f>IF(AND(P164&gt;0,Inputs!$C$6&gt;0),P164/Inputs!$C$6*Inputs!$C$7,"")</f>
        <v>#VALUE!</v>
      </c>
      <c r="R164" s="23" t="str">
        <f>IF(C164="BC",'Rate Model'!$C$19,IF(C164="DBM",'Rate Model'!$E$19,""))</f>
        <v/>
      </c>
      <c r="S164" s="11" t="e">
        <f t="shared" ref="S164:S195" si="76">IF(AND(N164&gt;0,R164&gt;0),N164*R164,"")</f>
        <v>#VALUE!</v>
      </c>
      <c r="T164" s="11" t="str">
        <f>IF(A164&lt;&gt;"",Inputs!$C$47,"")</f>
        <v/>
      </c>
      <c r="U164" s="11" t="str">
        <f>IF(A164&lt;&gt;"",Inputs!$C$48,"")</f>
        <v/>
      </c>
      <c r="V164" s="11">
        <v>2</v>
      </c>
      <c r="W164" s="11" t="str">
        <f>IF(A164&lt;&gt;"",Inputs!$C$49,"")</f>
        <v/>
      </c>
      <c r="X164" s="23">
        <v>0</v>
      </c>
      <c r="Y164" s="23" t="e">
        <f t="shared" ref="Y164:Y195" si="77">IF(AND(T164&gt;0,U164&gt;0,V164&gt;0,W164&gt;0),((T164*U164*V164)+X164)/W164,"")</f>
        <v>#VALUE!</v>
      </c>
      <c r="Z164" s="23" t="e">
        <f t="shared" ref="Z164:Z195" si="78">IF(AND(N164&gt;0,Y164&gt;0),N164*Y164,"")</f>
        <v>#VALUE!</v>
      </c>
      <c r="AA164" s="5" t="str">
        <f>IF(A164&lt;&gt;"",Inputs!$C$57,"")</f>
        <v/>
      </c>
      <c r="AB164" s="6" t="e">
        <f t="shared" ref="AB164:AB195" si="79">IF(AND(N164&gt;0,AA164&gt;0),N164*AA164,"")</f>
        <v>#VALUE!</v>
      </c>
      <c r="AC164" s="6"/>
      <c r="AD164" s="23"/>
      <c r="AE164" s="23">
        <f>IF(AND(J164&gt;0,AC164&gt;0),J164*AC164*Inputs!$C$71,0)</f>
        <v>0</v>
      </c>
      <c r="AF164" s="23">
        <f>IF(AND(J164&gt;0,AD164&gt;0),J164*AD164*Inputs!$C$72,0)</f>
        <v>0</v>
      </c>
      <c r="AG164" s="23" t="e">
        <f t="shared" ref="AG164:AG195" si="80">SUM(S164,Z164,AB164,AE164,AF164)</f>
        <v>#VALUE!</v>
      </c>
      <c r="AH164" s="23" t="e">
        <f t="shared" ref="AH164:AH195" si="81">IF(AND(N164&gt;0,AG164&gt;0),AG164/N164,"")</f>
        <v>#VALUE!</v>
      </c>
      <c r="AI164" s="23" t="e">
        <f t="shared" ref="AI164:AI195" si="82">IF(AND(I164&gt;0,AG164&gt;0),AG164/I164,"")</f>
        <v>#VALUE!</v>
      </c>
      <c r="AJ164" s="23" t="e">
        <f t="shared" ref="AJ164:AJ195" si="83">IF(AND(J164&gt;0,AG164&gt;0),AG164/J164,"")</f>
        <v>#VALUE!</v>
      </c>
    </row>
    <row r="165" spans="1:36" x14ac:dyDescent="0.2">
      <c r="A165" s="6"/>
      <c r="B165" s="6"/>
      <c r="C165" s="6"/>
      <c r="D165" s="6"/>
      <c r="E165" s="11"/>
      <c r="F165" s="11"/>
      <c r="G165" s="11"/>
      <c r="H165" s="11"/>
      <c r="I165" s="10" t="str">
        <f t="shared" si="70"/>
        <v/>
      </c>
      <c r="J165" s="10" t="str">
        <f t="shared" si="71"/>
        <v/>
      </c>
      <c r="K165" s="14" t="str">
        <f t="shared" si="72"/>
        <v/>
      </c>
      <c r="L165" s="10" t="str">
        <f>IF(C165="BC",'Mix Design'!$B$9,IF(C165="DBM",'Mix Design'!$C$9,""))</f>
        <v/>
      </c>
      <c r="M165" s="10" t="str">
        <f>IF(C165="BC",Inputs!$C$17,IF(C165="DBM",Inputs!$C$18,""))</f>
        <v/>
      </c>
      <c r="N165" s="10" t="e">
        <f t="shared" si="73"/>
        <v>#VALUE!</v>
      </c>
      <c r="O165" s="10" t="e">
        <f t="shared" si="74"/>
        <v>#VALUE!</v>
      </c>
      <c r="P165" s="10" t="e">
        <f t="shared" si="75"/>
        <v>#VALUE!</v>
      </c>
      <c r="Q165" s="23" t="e">
        <f>IF(AND(P165&gt;0,Inputs!$C$6&gt;0),P165/Inputs!$C$6*Inputs!$C$7,"")</f>
        <v>#VALUE!</v>
      </c>
      <c r="R165" s="23" t="str">
        <f>IF(C165="BC",'Rate Model'!$C$19,IF(C165="DBM",'Rate Model'!$E$19,""))</f>
        <v/>
      </c>
      <c r="S165" s="11" t="e">
        <f t="shared" si="76"/>
        <v>#VALUE!</v>
      </c>
      <c r="T165" s="11" t="str">
        <f>IF(A165&lt;&gt;"",Inputs!$C$47,"")</f>
        <v/>
      </c>
      <c r="U165" s="11" t="str">
        <f>IF(A165&lt;&gt;"",Inputs!$C$48,"")</f>
        <v/>
      </c>
      <c r="V165" s="11">
        <v>2</v>
      </c>
      <c r="W165" s="11" t="str">
        <f>IF(A165&lt;&gt;"",Inputs!$C$49,"")</f>
        <v/>
      </c>
      <c r="X165" s="23">
        <v>0</v>
      </c>
      <c r="Y165" s="23" t="e">
        <f t="shared" si="77"/>
        <v>#VALUE!</v>
      </c>
      <c r="Z165" s="23" t="e">
        <f t="shared" si="78"/>
        <v>#VALUE!</v>
      </c>
      <c r="AA165" s="5" t="str">
        <f>IF(A165&lt;&gt;"",Inputs!$C$57,"")</f>
        <v/>
      </c>
      <c r="AB165" s="6" t="e">
        <f t="shared" si="79"/>
        <v>#VALUE!</v>
      </c>
      <c r="AC165" s="6"/>
      <c r="AD165" s="23"/>
      <c r="AE165" s="23">
        <f>IF(AND(J165&gt;0,AC165&gt;0),J165*AC165*Inputs!$C$71,0)</f>
        <v>0</v>
      </c>
      <c r="AF165" s="23">
        <f>IF(AND(J165&gt;0,AD165&gt;0),J165*AD165*Inputs!$C$72,0)</f>
        <v>0</v>
      </c>
      <c r="AG165" s="23" t="e">
        <f t="shared" si="80"/>
        <v>#VALUE!</v>
      </c>
      <c r="AH165" s="23" t="e">
        <f t="shared" si="81"/>
        <v>#VALUE!</v>
      </c>
      <c r="AI165" s="23" t="e">
        <f t="shared" si="82"/>
        <v>#VALUE!</v>
      </c>
      <c r="AJ165" s="23" t="e">
        <f t="shared" si="83"/>
        <v>#VALUE!</v>
      </c>
    </row>
    <row r="166" spans="1:36" x14ac:dyDescent="0.2">
      <c r="A166" s="6"/>
      <c r="B166" s="6"/>
      <c r="C166" s="6"/>
      <c r="D166" s="6"/>
      <c r="E166" s="11"/>
      <c r="F166" s="11"/>
      <c r="G166" s="11"/>
      <c r="H166" s="11"/>
      <c r="I166" s="10" t="str">
        <f t="shared" si="70"/>
        <v/>
      </c>
      <c r="J166" s="10" t="str">
        <f t="shared" si="71"/>
        <v/>
      </c>
      <c r="K166" s="14" t="str">
        <f t="shared" si="72"/>
        <v/>
      </c>
      <c r="L166" s="10" t="str">
        <f>IF(C166="BC",'Mix Design'!$B$9,IF(C166="DBM",'Mix Design'!$C$9,""))</f>
        <v/>
      </c>
      <c r="M166" s="10" t="str">
        <f>IF(C166="BC",Inputs!$C$17,IF(C166="DBM",Inputs!$C$18,""))</f>
        <v/>
      </c>
      <c r="N166" s="10" t="e">
        <f t="shared" si="73"/>
        <v>#VALUE!</v>
      </c>
      <c r="O166" s="10" t="e">
        <f t="shared" si="74"/>
        <v>#VALUE!</v>
      </c>
      <c r="P166" s="10" t="e">
        <f t="shared" si="75"/>
        <v>#VALUE!</v>
      </c>
      <c r="Q166" s="23" t="e">
        <f>IF(AND(P166&gt;0,Inputs!$C$6&gt;0),P166/Inputs!$C$6*Inputs!$C$7,"")</f>
        <v>#VALUE!</v>
      </c>
      <c r="R166" s="23" t="str">
        <f>IF(C166="BC",'Rate Model'!$C$19,IF(C166="DBM",'Rate Model'!$E$19,""))</f>
        <v/>
      </c>
      <c r="S166" s="11" t="e">
        <f t="shared" si="76"/>
        <v>#VALUE!</v>
      </c>
      <c r="T166" s="11" t="str">
        <f>IF(A166&lt;&gt;"",Inputs!$C$47,"")</f>
        <v/>
      </c>
      <c r="U166" s="11" t="str">
        <f>IF(A166&lt;&gt;"",Inputs!$C$48,"")</f>
        <v/>
      </c>
      <c r="V166" s="11">
        <v>2</v>
      </c>
      <c r="W166" s="11" t="str">
        <f>IF(A166&lt;&gt;"",Inputs!$C$49,"")</f>
        <v/>
      </c>
      <c r="X166" s="23">
        <v>0</v>
      </c>
      <c r="Y166" s="23" t="e">
        <f t="shared" si="77"/>
        <v>#VALUE!</v>
      </c>
      <c r="Z166" s="23" t="e">
        <f t="shared" si="78"/>
        <v>#VALUE!</v>
      </c>
      <c r="AA166" s="5" t="str">
        <f>IF(A166&lt;&gt;"",Inputs!$C$57,"")</f>
        <v/>
      </c>
      <c r="AB166" s="6" t="e">
        <f t="shared" si="79"/>
        <v>#VALUE!</v>
      </c>
      <c r="AC166" s="6"/>
      <c r="AD166" s="23"/>
      <c r="AE166" s="23">
        <f>IF(AND(J166&gt;0,AC166&gt;0),J166*AC166*Inputs!$C$71,0)</f>
        <v>0</v>
      </c>
      <c r="AF166" s="23">
        <f>IF(AND(J166&gt;0,AD166&gt;0),J166*AD166*Inputs!$C$72,0)</f>
        <v>0</v>
      </c>
      <c r="AG166" s="23" t="e">
        <f t="shared" si="80"/>
        <v>#VALUE!</v>
      </c>
      <c r="AH166" s="23" t="e">
        <f t="shared" si="81"/>
        <v>#VALUE!</v>
      </c>
      <c r="AI166" s="23" t="e">
        <f t="shared" si="82"/>
        <v>#VALUE!</v>
      </c>
      <c r="AJ166" s="23" t="e">
        <f t="shared" si="83"/>
        <v>#VALUE!</v>
      </c>
    </row>
    <row r="167" spans="1:36" x14ac:dyDescent="0.2">
      <c r="A167" s="6"/>
      <c r="B167" s="6"/>
      <c r="C167" s="6"/>
      <c r="D167" s="6"/>
      <c r="E167" s="11"/>
      <c r="F167" s="11"/>
      <c r="G167" s="11"/>
      <c r="H167" s="11"/>
      <c r="I167" s="10" t="str">
        <f t="shared" si="70"/>
        <v/>
      </c>
      <c r="J167" s="10" t="str">
        <f t="shared" si="71"/>
        <v/>
      </c>
      <c r="K167" s="14" t="str">
        <f t="shared" si="72"/>
        <v/>
      </c>
      <c r="L167" s="10" t="str">
        <f>IF(C167="BC",'Mix Design'!$B$9,IF(C167="DBM",'Mix Design'!$C$9,""))</f>
        <v/>
      </c>
      <c r="M167" s="10" t="str">
        <f>IF(C167="BC",Inputs!$C$17,IF(C167="DBM",Inputs!$C$18,""))</f>
        <v/>
      </c>
      <c r="N167" s="10" t="e">
        <f t="shared" si="73"/>
        <v>#VALUE!</v>
      </c>
      <c r="O167" s="10" t="e">
        <f t="shared" si="74"/>
        <v>#VALUE!</v>
      </c>
      <c r="P167" s="10" t="e">
        <f t="shared" si="75"/>
        <v>#VALUE!</v>
      </c>
      <c r="Q167" s="23" t="e">
        <f>IF(AND(P167&gt;0,Inputs!$C$6&gt;0),P167/Inputs!$C$6*Inputs!$C$7,"")</f>
        <v>#VALUE!</v>
      </c>
      <c r="R167" s="23" t="str">
        <f>IF(C167="BC",'Rate Model'!$C$19,IF(C167="DBM",'Rate Model'!$E$19,""))</f>
        <v/>
      </c>
      <c r="S167" s="11" t="e">
        <f t="shared" si="76"/>
        <v>#VALUE!</v>
      </c>
      <c r="T167" s="11" t="str">
        <f>IF(A167&lt;&gt;"",Inputs!$C$47,"")</f>
        <v/>
      </c>
      <c r="U167" s="11" t="str">
        <f>IF(A167&lt;&gt;"",Inputs!$C$48,"")</f>
        <v/>
      </c>
      <c r="V167" s="11">
        <v>2</v>
      </c>
      <c r="W167" s="11" t="str">
        <f>IF(A167&lt;&gt;"",Inputs!$C$49,"")</f>
        <v/>
      </c>
      <c r="X167" s="23">
        <v>0</v>
      </c>
      <c r="Y167" s="23" t="e">
        <f t="shared" si="77"/>
        <v>#VALUE!</v>
      </c>
      <c r="Z167" s="23" t="e">
        <f t="shared" si="78"/>
        <v>#VALUE!</v>
      </c>
      <c r="AA167" s="5" t="str">
        <f>IF(A167&lt;&gt;"",Inputs!$C$57,"")</f>
        <v/>
      </c>
      <c r="AB167" s="6" t="e">
        <f t="shared" si="79"/>
        <v>#VALUE!</v>
      </c>
      <c r="AC167" s="6"/>
      <c r="AD167" s="23"/>
      <c r="AE167" s="23">
        <f>IF(AND(J167&gt;0,AC167&gt;0),J167*AC167*Inputs!$C$71,0)</f>
        <v>0</v>
      </c>
      <c r="AF167" s="23">
        <f>IF(AND(J167&gt;0,AD167&gt;0),J167*AD167*Inputs!$C$72,0)</f>
        <v>0</v>
      </c>
      <c r="AG167" s="23" t="e">
        <f t="shared" si="80"/>
        <v>#VALUE!</v>
      </c>
      <c r="AH167" s="23" t="e">
        <f t="shared" si="81"/>
        <v>#VALUE!</v>
      </c>
      <c r="AI167" s="23" t="e">
        <f t="shared" si="82"/>
        <v>#VALUE!</v>
      </c>
      <c r="AJ167" s="23" t="e">
        <f t="shared" si="83"/>
        <v>#VALUE!</v>
      </c>
    </row>
    <row r="168" spans="1:36" x14ac:dyDescent="0.2">
      <c r="A168" s="6"/>
      <c r="B168" s="6"/>
      <c r="C168" s="6"/>
      <c r="D168" s="6"/>
      <c r="E168" s="11"/>
      <c r="F168" s="11"/>
      <c r="G168" s="11"/>
      <c r="H168" s="11"/>
      <c r="I168" s="10" t="str">
        <f t="shared" si="70"/>
        <v/>
      </c>
      <c r="J168" s="10" t="str">
        <f t="shared" si="71"/>
        <v/>
      </c>
      <c r="K168" s="14" t="str">
        <f t="shared" si="72"/>
        <v/>
      </c>
      <c r="L168" s="10" t="str">
        <f>IF(C168="BC",'Mix Design'!$B$9,IF(C168="DBM",'Mix Design'!$C$9,""))</f>
        <v/>
      </c>
      <c r="M168" s="10" t="str">
        <f>IF(C168="BC",Inputs!$C$17,IF(C168="DBM",Inputs!$C$18,""))</f>
        <v/>
      </c>
      <c r="N168" s="10" t="e">
        <f t="shared" si="73"/>
        <v>#VALUE!</v>
      </c>
      <c r="O168" s="10" t="e">
        <f t="shared" si="74"/>
        <v>#VALUE!</v>
      </c>
      <c r="P168" s="10" t="e">
        <f t="shared" si="75"/>
        <v>#VALUE!</v>
      </c>
      <c r="Q168" s="23" t="e">
        <f>IF(AND(P168&gt;0,Inputs!$C$6&gt;0),P168/Inputs!$C$6*Inputs!$C$7,"")</f>
        <v>#VALUE!</v>
      </c>
      <c r="R168" s="23" t="str">
        <f>IF(C168="BC",'Rate Model'!$C$19,IF(C168="DBM",'Rate Model'!$E$19,""))</f>
        <v/>
      </c>
      <c r="S168" s="11" t="e">
        <f t="shared" si="76"/>
        <v>#VALUE!</v>
      </c>
      <c r="T168" s="11" t="str">
        <f>IF(A168&lt;&gt;"",Inputs!$C$47,"")</f>
        <v/>
      </c>
      <c r="U168" s="11" t="str">
        <f>IF(A168&lt;&gt;"",Inputs!$C$48,"")</f>
        <v/>
      </c>
      <c r="V168" s="11">
        <v>2</v>
      </c>
      <c r="W168" s="11" t="str">
        <f>IF(A168&lt;&gt;"",Inputs!$C$49,"")</f>
        <v/>
      </c>
      <c r="X168" s="23">
        <v>0</v>
      </c>
      <c r="Y168" s="23" t="e">
        <f t="shared" si="77"/>
        <v>#VALUE!</v>
      </c>
      <c r="Z168" s="23" t="e">
        <f t="shared" si="78"/>
        <v>#VALUE!</v>
      </c>
      <c r="AA168" s="5" t="str">
        <f>IF(A168&lt;&gt;"",Inputs!$C$57,"")</f>
        <v/>
      </c>
      <c r="AB168" s="6" t="e">
        <f t="shared" si="79"/>
        <v>#VALUE!</v>
      </c>
      <c r="AC168" s="6"/>
      <c r="AD168" s="23"/>
      <c r="AE168" s="23">
        <f>IF(AND(J168&gt;0,AC168&gt;0),J168*AC168*Inputs!$C$71,0)</f>
        <v>0</v>
      </c>
      <c r="AF168" s="23">
        <f>IF(AND(J168&gt;0,AD168&gt;0),J168*AD168*Inputs!$C$72,0)</f>
        <v>0</v>
      </c>
      <c r="AG168" s="23" t="e">
        <f t="shared" si="80"/>
        <v>#VALUE!</v>
      </c>
      <c r="AH168" s="23" t="e">
        <f t="shared" si="81"/>
        <v>#VALUE!</v>
      </c>
      <c r="AI168" s="23" t="e">
        <f t="shared" si="82"/>
        <v>#VALUE!</v>
      </c>
      <c r="AJ168" s="23" t="e">
        <f t="shared" si="83"/>
        <v>#VALUE!</v>
      </c>
    </row>
    <row r="169" spans="1:36" x14ac:dyDescent="0.2">
      <c r="A169" s="6"/>
      <c r="B169" s="6"/>
      <c r="C169" s="6"/>
      <c r="D169" s="6"/>
      <c r="E169" s="11"/>
      <c r="F169" s="11"/>
      <c r="G169" s="11"/>
      <c r="H169" s="11"/>
      <c r="I169" s="10" t="str">
        <f t="shared" si="70"/>
        <v/>
      </c>
      <c r="J169" s="10" t="str">
        <f t="shared" si="71"/>
        <v/>
      </c>
      <c r="K169" s="14" t="str">
        <f t="shared" si="72"/>
        <v/>
      </c>
      <c r="L169" s="10" t="str">
        <f>IF(C169="BC",'Mix Design'!$B$9,IF(C169="DBM",'Mix Design'!$C$9,""))</f>
        <v/>
      </c>
      <c r="M169" s="10" t="str">
        <f>IF(C169="BC",Inputs!$C$17,IF(C169="DBM",Inputs!$C$18,""))</f>
        <v/>
      </c>
      <c r="N169" s="10" t="e">
        <f t="shared" si="73"/>
        <v>#VALUE!</v>
      </c>
      <c r="O169" s="10" t="e">
        <f t="shared" si="74"/>
        <v>#VALUE!</v>
      </c>
      <c r="P169" s="10" t="e">
        <f t="shared" si="75"/>
        <v>#VALUE!</v>
      </c>
      <c r="Q169" s="23" t="e">
        <f>IF(AND(P169&gt;0,Inputs!$C$6&gt;0),P169/Inputs!$C$6*Inputs!$C$7,"")</f>
        <v>#VALUE!</v>
      </c>
      <c r="R169" s="23" t="str">
        <f>IF(C169="BC",'Rate Model'!$C$19,IF(C169="DBM",'Rate Model'!$E$19,""))</f>
        <v/>
      </c>
      <c r="S169" s="11" t="e">
        <f t="shared" si="76"/>
        <v>#VALUE!</v>
      </c>
      <c r="T169" s="11" t="str">
        <f>IF(A169&lt;&gt;"",Inputs!$C$47,"")</f>
        <v/>
      </c>
      <c r="U169" s="11" t="str">
        <f>IF(A169&lt;&gt;"",Inputs!$C$48,"")</f>
        <v/>
      </c>
      <c r="V169" s="11">
        <v>2</v>
      </c>
      <c r="W169" s="11" t="str">
        <f>IF(A169&lt;&gt;"",Inputs!$C$49,"")</f>
        <v/>
      </c>
      <c r="X169" s="23">
        <v>0</v>
      </c>
      <c r="Y169" s="23" t="e">
        <f t="shared" si="77"/>
        <v>#VALUE!</v>
      </c>
      <c r="Z169" s="23" t="e">
        <f t="shared" si="78"/>
        <v>#VALUE!</v>
      </c>
      <c r="AA169" s="5" t="str">
        <f>IF(A169&lt;&gt;"",Inputs!$C$57,"")</f>
        <v/>
      </c>
      <c r="AB169" s="6" t="e">
        <f t="shared" si="79"/>
        <v>#VALUE!</v>
      </c>
      <c r="AC169" s="6"/>
      <c r="AD169" s="23"/>
      <c r="AE169" s="23">
        <f>IF(AND(J169&gt;0,AC169&gt;0),J169*AC169*Inputs!$C$71,0)</f>
        <v>0</v>
      </c>
      <c r="AF169" s="23">
        <f>IF(AND(J169&gt;0,AD169&gt;0),J169*AD169*Inputs!$C$72,0)</f>
        <v>0</v>
      </c>
      <c r="AG169" s="23" t="e">
        <f t="shared" si="80"/>
        <v>#VALUE!</v>
      </c>
      <c r="AH169" s="23" t="e">
        <f t="shared" si="81"/>
        <v>#VALUE!</v>
      </c>
      <c r="AI169" s="23" t="e">
        <f t="shared" si="82"/>
        <v>#VALUE!</v>
      </c>
      <c r="AJ169" s="23" t="e">
        <f t="shared" si="83"/>
        <v>#VALUE!</v>
      </c>
    </row>
    <row r="170" spans="1:36" x14ac:dyDescent="0.2">
      <c r="A170" s="6"/>
      <c r="B170" s="6"/>
      <c r="C170" s="6"/>
      <c r="D170" s="6"/>
      <c r="E170" s="11"/>
      <c r="F170" s="11"/>
      <c r="G170" s="11"/>
      <c r="H170" s="11"/>
      <c r="I170" s="10" t="str">
        <f t="shared" si="70"/>
        <v/>
      </c>
      <c r="J170" s="10" t="str">
        <f t="shared" si="71"/>
        <v/>
      </c>
      <c r="K170" s="14" t="str">
        <f t="shared" si="72"/>
        <v/>
      </c>
      <c r="L170" s="10" t="str">
        <f>IF(C170="BC",'Mix Design'!$B$9,IF(C170="DBM",'Mix Design'!$C$9,""))</f>
        <v/>
      </c>
      <c r="M170" s="10" t="str">
        <f>IF(C170="BC",Inputs!$C$17,IF(C170="DBM",Inputs!$C$18,""))</f>
        <v/>
      </c>
      <c r="N170" s="10" t="e">
        <f t="shared" si="73"/>
        <v>#VALUE!</v>
      </c>
      <c r="O170" s="10" t="e">
        <f t="shared" si="74"/>
        <v>#VALUE!</v>
      </c>
      <c r="P170" s="10" t="e">
        <f t="shared" si="75"/>
        <v>#VALUE!</v>
      </c>
      <c r="Q170" s="23" t="e">
        <f>IF(AND(P170&gt;0,Inputs!$C$6&gt;0),P170/Inputs!$C$6*Inputs!$C$7,"")</f>
        <v>#VALUE!</v>
      </c>
      <c r="R170" s="23" t="str">
        <f>IF(C170="BC",'Rate Model'!$C$19,IF(C170="DBM",'Rate Model'!$E$19,""))</f>
        <v/>
      </c>
      <c r="S170" s="11" t="e">
        <f t="shared" si="76"/>
        <v>#VALUE!</v>
      </c>
      <c r="T170" s="11" t="str">
        <f>IF(A170&lt;&gt;"",Inputs!$C$47,"")</f>
        <v/>
      </c>
      <c r="U170" s="11" t="str">
        <f>IF(A170&lt;&gt;"",Inputs!$C$48,"")</f>
        <v/>
      </c>
      <c r="V170" s="11">
        <v>2</v>
      </c>
      <c r="W170" s="11" t="str">
        <f>IF(A170&lt;&gt;"",Inputs!$C$49,"")</f>
        <v/>
      </c>
      <c r="X170" s="23">
        <v>0</v>
      </c>
      <c r="Y170" s="23" t="e">
        <f t="shared" si="77"/>
        <v>#VALUE!</v>
      </c>
      <c r="Z170" s="23" t="e">
        <f t="shared" si="78"/>
        <v>#VALUE!</v>
      </c>
      <c r="AA170" s="5" t="str">
        <f>IF(A170&lt;&gt;"",Inputs!$C$57,"")</f>
        <v/>
      </c>
      <c r="AB170" s="6" t="e">
        <f t="shared" si="79"/>
        <v>#VALUE!</v>
      </c>
      <c r="AC170" s="6"/>
      <c r="AD170" s="23"/>
      <c r="AE170" s="23">
        <f>IF(AND(J170&gt;0,AC170&gt;0),J170*AC170*Inputs!$C$71,0)</f>
        <v>0</v>
      </c>
      <c r="AF170" s="23">
        <f>IF(AND(J170&gt;0,AD170&gt;0),J170*AD170*Inputs!$C$72,0)</f>
        <v>0</v>
      </c>
      <c r="AG170" s="23" t="e">
        <f t="shared" si="80"/>
        <v>#VALUE!</v>
      </c>
      <c r="AH170" s="23" t="e">
        <f t="shared" si="81"/>
        <v>#VALUE!</v>
      </c>
      <c r="AI170" s="23" t="e">
        <f t="shared" si="82"/>
        <v>#VALUE!</v>
      </c>
      <c r="AJ170" s="23" t="e">
        <f t="shared" si="83"/>
        <v>#VALUE!</v>
      </c>
    </row>
    <row r="171" spans="1:36" x14ac:dyDescent="0.2">
      <c r="A171" s="6"/>
      <c r="B171" s="6"/>
      <c r="C171" s="6"/>
      <c r="D171" s="6"/>
      <c r="E171" s="11"/>
      <c r="F171" s="11"/>
      <c r="G171" s="11"/>
      <c r="H171" s="11"/>
      <c r="I171" s="10" t="str">
        <f t="shared" si="70"/>
        <v/>
      </c>
      <c r="J171" s="10" t="str">
        <f t="shared" si="71"/>
        <v/>
      </c>
      <c r="K171" s="14" t="str">
        <f t="shared" si="72"/>
        <v/>
      </c>
      <c r="L171" s="10" t="str">
        <f>IF(C171="BC",'Mix Design'!$B$9,IF(C171="DBM",'Mix Design'!$C$9,""))</f>
        <v/>
      </c>
      <c r="M171" s="10" t="str">
        <f>IF(C171="BC",Inputs!$C$17,IF(C171="DBM",Inputs!$C$18,""))</f>
        <v/>
      </c>
      <c r="N171" s="10" t="e">
        <f t="shared" si="73"/>
        <v>#VALUE!</v>
      </c>
      <c r="O171" s="10" t="e">
        <f t="shared" si="74"/>
        <v>#VALUE!</v>
      </c>
      <c r="P171" s="10" t="e">
        <f t="shared" si="75"/>
        <v>#VALUE!</v>
      </c>
      <c r="Q171" s="23" t="e">
        <f>IF(AND(P171&gt;0,Inputs!$C$6&gt;0),P171/Inputs!$C$6*Inputs!$C$7,"")</f>
        <v>#VALUE!</v>
      </c>
      <c r="R171" s="23" t="str">
        <f>IF(C171="BC",'Rate Model'!$C$19,IF(C171="DBM",'Rate Model'!$E$19,""))</f>
        <v/>
      </c>
      <c r="S171" s="11" t="e">
        <f t="shared" si="76"/>
        <v>#VALUE!</v>
      </c>
      <c r="T171" s="11" t="str">
        <f>IF(A171&lt;&gt;"",Inputs!$C$47,"")</f>
        <v/>
      </c>
      <c r="U171" s="11" t="str">
        <f>IF(A171&lt;&gt;"",Inputs!$C$48,"")</f>
        <v/>
      </c>
      <c r="V171" s="11">
        <v>2</v>
      </c>
      <c r="W171" s="11" t="str">
        <f>IF(A171&lt;&gt;"",Inputs!$C$49,"")</f>
        <v/>
      </c>
      <c r="X171" s="23">
        <v>0</v>
      </c>
      <c r="Y171" s="23" t="e">
        <f t="shared" si="77"/>
        <v>#VALUE!</v>
      </c>
      <c r="Z171" s="23" t="e">
        <f t="shared" si="78"/>
        <v>#VALUE!</v>
      </c>
      <c r="AA171" s="5" t="str">
        <f>IF(A171&lt;&gt;"",Inputs!$C$57,"")</f>
        <v/>
      </c>
      <c r="AB171" s="6" t="e">
        <f t="shared" si="79"/>
        <v>#VALUE!</v>
      </c>
      <c r="AC171" s="6"/>
      <c r="AD171" s="23"/>
      <c r="AE171" s="23">
        <f>IF(AND(J171&gt;0,AC171&gt;0),J171*AC171*Inputs!$C$71,0)</f>
        <v>0</v>
      </c>
      <c r="AF171" s="23">
        <f>IF(AND(J171&gt;0,AD171&gt;0),J171*AD171*Inputs!$C$72,0)</f>
        <v>0</v>
      </c>
      <c r="AG171" s="23" t="e">
        <f t="shared" si="80"/>
        <v>#VALUE!</v>
      </c>
      <c r="AH171" s="23" t="e">
        <f t="shared" si="81"/>
        <v>#VALUE!</v>
      </c>
      <c r="AI171" s="23" t="e">
        <f t="shared" si="82"/>
        <v>#VALUE!</v>
      </c>
      <c r="AJ171" s="23" t="e">
        <f t="shared" si="83"/>
        <v>#VALUE!</v>
      </c>
    </row>
    <row r="172" spans="1:36" x14ac:dyDescent="0.2">
      <c r="A172" s="6"/>
      <c r="B172" s="6"/>
      <c r="C172" s="6"/>
      <c r="D172" s="6"/>
      <c r="E172" s="11"/>
      <c r="F172" s="11"/>
      <c r="G172" s="11"/>
      <c r="H172" s="11"/>
      <c r="I172" s="10" t="str">
        <f t="shared" si="70"/>
        <v/>
      </c>
      <c r="J172" s="10" t="str">
        <f t="shared" si="71"/>
        <v/>
      </c>
      <c r="K172" s="14" t="str">
        <f t="shared" si="72"/>
        <v/>
      </c>
      <c r="L172" s="10" t="str">
        <f>IF(C172="BC",'Mix Design'!$B$9,IF(C172="DBM",'Mix Design'!$C$9,""))</f>
        <v/>
      </c>
      <c r="M172" s="10" t="str">
        <f>IF(C172="BC",Inputs!$C$17,IF(C172="DBM",Inputs!$C$18,""))</f>
        <v/>
      </c>
      <c r="N172" s="10" t="e">
        <f t="shared" si="73"/>
        <v>#VALUE!</v>
      </c>
      <c r="O172" s="10" t="e">
        <f t="shared" si="74"/>
        <v>#VALUE!</v>
      </c>
      <c r="P172" s="10" t="e">
        <f t="shared" si="75"/>
        <v>#VALUE!</v>
      </c>
      <c r="Q172" s="23" t="e">
        <f>IF(AND(P172&gt;0,Inputs!$C$6&gt;0),P172/Inputs!$C$6*Inputs!$C$7,"")</f>
        <v>#VALUE!</v>
      </c>
      <c r="R172" s="23" t="str">
        <f>IF(C172="BC",'Rate Model'!$C$19,IF(C172="DBM",'Rate Model'!$E$19,""))</f>
        <v/>
      </c>
      <c r="S172" s="11" t="e">
        <f t="shared" si="76"/>
        <v>#VALUE!</v>
      </c>
      <c r="T172" s="11" t="str">
        <f>IF(A172&lt;&gt;"",Inputs!$C$47,"")</f>
        <v/>
      </c>
      <c r="U172" s="11" t="str">
        <f>IF(A172&lt;&gt;"",Inputs!$C$48,"")</f>
        <v/>
      </c>
      <c r="V172" s="11">
        <v>2</v>
      </c>
      <c r="W172" s="11" t="str">
        <f>IF(A172&lt;&gt;"",Inputs!$C$49,"")</f>
        <v/>
      </c>
      <c r="X172" s="23">
        <v>0</v>
      </c>
      <c r="Y172" s="23" t="e">
        <f t="shared" si="77"/>
        <v>#VALUE!</v>
      </c>
      <c r="Z172" s="23" t="e">
        <f t="shared" si="78"/>
        <v>#VALUE!</v>
      </c>
      <c r="AA172" s="5" t="str">
        <f>IF(A172&lt;&gt;"",Inputs!$C$57,"")</f>
        <v/>
      </c>
      <c r="AB172" s="6" t="e">
        <f t="shared" si="79"/>
        <v>#VALUE!</v>
      </c>
      <c r="AC172" s="6"/>
      <c r="AD172" s="23"/>
      <c r="AE172" s="23">
        <f>IF(AND(J172&gt;0,AC172&gt;0),J172*AC172*Inputs!$C$71,0)</f>
        <v>0</v>
      </c>
      <c r="AF172" s="23">
        <f>IF(AND(J172&gt;0,AD172&gt;0),J172*AD172*Inputs!$C$72,0)</f>
        <v>0</v>
      </c>
      <c r="AG172" s="23" t="e">
        <f t="shared" si="80"/>
        <v>#VALUE!</v>
      </c>
      <c r="AH172" s="23" t="e">
        <f t="shared" si="81"/>
        <v>#VALUE!</v>
      </c>
      <c r="AI172" s="23" t="e">
        <f t="shared" si="82"/>
        <v>#VALUE!</v>
      </c>
      <c r="AJ172" s="23" t="e">
        <f t="shared" si="83"/>
        <v>#VALUE!</v>
      </c>
    </row>
    <row r="173" spans="1:36" x14ac:dyDescent="0.2">
      <c r="A173" s="6"/>
      <c r="B173" s="6"/>
      <c r="C173" s="6"/>
      <c r="D173" s="6"/>
      <c r="E173" s="11"/>
      <c r="F173" s="11"/>
      <c r="G173" s="11"/>
      <c r="H173" s="11"/>
      <c r="I173" s="10" t="str">
        <f t="shared" si="70"/>
        <v/>
      </c>
      <c r="J173" s="10" t="str">
        <f t="shared" si="71"/>
        <v/>
      </c>
      <c r="K173" s="14" t="str">
        <f t="shared" si="72"/>
        <v/>
      </c>
      <c r="L173" s="10" t="str">
        <f>IF(C173="BC",'Mix Design'!$B$9,IF(C173="DBM",'Mix Design'!$C$9,""))</f>
        <v/>
      </c>
      <c r="M173" s="10" t="str">
        <f>IF(C173="BC",Inputs!$C$17,IF(C173="DBM",Inputs!$C$18,""))</f>
        <v/>
      </c>
      <c r="N173" s="10" t="e">
        <f t="shared" si="73"/>
        <v>#VALUE!</v>
      </c>
      <c r="O173" s="10" t="e">
        <f t="shared" si="74"/>
        <v>#VALUE!</v>
      </c>
      <c r="P173" s="10" t="e">
        <f t="shared" si="75"/>
        <v>#VALUE!</v>
      </c>
      <c r="Q173" s="23" t="e">
        <f>IF(AND(P173&gt;0,Inputs!$C$6&gt;0),P173/Inputs!$C$6*Inputs!$C$7,"")</f>
        <v>#VALUE!</v>
      </c>
      <c r="R173" s="23" t="str">
        <f>IF(C173="BC",'Rate Model'!$C$19,IF(C173="DBM",'Rate Model'!$E$19,""))</f>
        <v/>
      </c>
      <c r="S173" s="11" t="e">
        <f t="shared" si="76"/>
        <v>#VALUE!</v>
      </c>
      <c r="T173" s="11" t="str">
        <f>IF(A173&lt;&gt;"",Inputs!$C$47,"")</f>
        <v/>
      </c>
      <c r="U173" s="11" t="str">
        <f>IF(A173&lt;&gt;"",Inputs!$C$48,"")</f>
        <v/>
      </c>
      <c r="V173" s="11">
        <v>2</v>
      </c>
      <c r="W173" s="11" t="str">
        <f>IF(A173&lt;&gt;"",Inputs!$C$49,"")</f>
        <v/>
      </c>
      <c r="X173" s="23">
        <v>0</v>
      </c>
      <c r="Y173" s="23" t="e">
        <f t="shared" si="77"/>
        <v>#VALUE!</v>
      </c>
      <c r="Z173" s="23" t="e">
        <f t="shared" si="78"/>
        <v>#VALUE!</v>
      </c>
      <c r="AA173" s="5" t="str">
        <f>IF(A173&lt;&gt;"",Inputs!$C$57,"")</f>
        <v/>
      </c>
      <c r="AB173" s="6" t="e">
        <f t="shared" si="79"/>
        <v>#VALUE!</v>
      </c>
      <c r="AC173" s="6"/>
      <c r="AD173" s="23"/>
      <c r="AE173" s="23">
        <f>IF(AND(J173&gt;0,AC173&gt;0),J173*AC173*Inputs!$C$71,0)</f>
        <v>0</v>
      </c>
      <c r="AF173" s="23">
        <f>IF(AND(J173&gt;0,AD173&gt;0),J173*AD173*Inputs!$C$72,0)</f>
        <v>0</v>
      </c>
      <c r="AG173" s="23" t="e">
        <f t="shared" si="80"/>
        <v>#VALUE!</v>
      </c>
      <c r="AH173" s="23" t="e">
        <f t="shared" si="81"/>
        <v>#VALUE!</v>
      </c>
      <c r="AI173" s="23" t="e">
        <f t="shared" si="82"/>
        <v>#VALUE!</v>
      </c>
      <c r="AJ173" s="23" t="e">
        <f t="shared" si="83"/>
        <v>#VALUE!</v>
      </c>
    </row>
    <row r="174" spans="1:36" x14ac:dyDescent="0.2">
      <c r="A174" s="6"/>
      <c r="B174" s="6"/>
      <c r="C174" s="6"/>
      <c r="D174" s="6"/>
      <c r="E174" s="11"/>
      <c r="F174" s="11"/>
      <c r="G174" s="11"/>
      <c r="H174" s="11"/>
      <c r="I174" s="10" t="str">
        <f t="shared" si="70"/>
        <v/>
      </c>
      <c r="J174" s="10" t="str">
        <f t="shared" si="71"/>
        <v/>
      </c>
      <c r="K174" s="14" t="str">
        <f t="shared" si="72"/>
        <v/>
      </c>
      <c r="L174" s="10" t="str">
        <f>IF(C174="BC",'Mix Design'!$B$9,IF(C174="DBM",'Mix Design'!$C$9,""))</f>
        <v/>
      </c>
      <c r="M174" s="10" t="str">
        <f>IF(C174="BC",Inputs!$C$17,IF(C174="DBM",Inputs!$C$18,""))</f>
        <v/>
      </c>
      <c r="N174" s="10" t="e">
        <f t="shared" si="73"/>
        <v>#VALUE!</v>
      </c>
      <c r="O174" s="10" t="e">
        <f t="shared" si="74"/>
        <v>#VALUE!</v>
      </c>
      <c r="P174" s="10" t="e">
        <f t="shared" si="75"/>
        <v>#VALUE!</v>
      </c>
      <c r="Q174" s="23" t="e">
        <f>IF(AND(P174&gt;0,Inputs!$C$6&gt;0),P174/Inputs!$C$6*Inputs!$C$7,"")</f>
        <v>#VALUE!</v>
      </c>
      <c r="R174" s="23" t="str">
        <f>IF(C174="BC",'Rate Model'!$C$19,IF(C174="DBM",'Rate Model'!$E$19,""))</f>
        <v/>
      </c>
      <c r="S174" s="11" t="e">
        <f t="shared" si="76"/>
        <v>#VALUE!</v>
      </c>
      <c r="T174" s="11" t="str">
        <f>IF(A174&lt;&gt;"",Inputs!$C$47,"")</f>
        <v/>
      </c>
      <c r="U174" s="11" t="str">
        <f>IF(A174&lt;&gt;"",Inputs!$C$48,"")</f>
        <v/>
      </c>
      <c r="V174" s="11">
        <v>2</v>
      </c>
      <c r="W174" s="11" t="str">
        <f>IF(A174&lt;&gt;"",Inputs!$C$49,"")</f>
        <v/>
      </c>
      <c r="X174" s="23">
        <v>0</v>
      </c>
      <c r="Y174" s="23" t="e">
        <f t="shared" si="77"/>
        <v>#VALUE!</v>
      </c>
      <c r="Z174" s="23" t="e">
        <f t="shared" si="78"/>
        <v>#VALUE!</v>
      </c>
      <c r="AA174" s="5" t="str">
        <f>IF(A174&lt;&gt;"",Inputs!$C$57,"")</f>
        <v/>
      </c>
      <c r="AB174" s="6" t="e">
        <f t="shared" si="79"/>
        <v>#VALUE!</v>
      </c>
      <c r="AC174" s="6"/>
      <c r="AD174" s="23"/>
      <c r="AE174" s="23">
        <f>IF(AND(J174&gt;0,AC174&gt;0),J174*AC174*Inputs!$C$71,0)</f>
        <v>0</v>
      </c>
      <c r="AF174" s="23">
        <f>IF(AND(J174&gt;0,AD174&gt;0),J174*AD174*Inputs!$C$72,0)</f>
        <v>0</v>
      </c>
      <c r="AG174" s="23" t="e">
        <f t="shared" si="80"/>
        <v>#VALUE!</v>
      </c>
      <c r="AH174" s="23" t="e">
        <f t="shared" si="81"/>
        <v>#VALUE!</v>
      </c>
      <c r="AI174" s="23" t="e">
        <f t="shared" si="82"/>
        <v>#VALUE!</v>
      </c>
      <c r="AJ174" s="23" t="e">
        <f t="shared" si="83"/>
        <v>#VALUE!</v>
      </c>
    </row>
    <row r="175" spans="1:36" x14ac:dyDescent="0.2">
      <c r="A175" s="6"/>
      <c r="B175" s="6"/>
      <c r="C175" s="6"/>
      <c r="D175" s="6"/>
      <c r="E175" s="11"/>
      <c r="F175" s="11"/>
      <c r="G175" s="11"/>
      <c r="H175" s="11"/>
      <c r="I175" s="10" t="str">
        <f t="shared" si="70"/>
        <v/>
      </c>
      <c r="J175" s="10" t="str">
        <f t="shared" si="71"/>
        <v/>
      </c>
      <c r="K175" s="14" t="str">
        <f t="shared" si="72"/>
        <v/>
      </c>
      <c r="L175" s="10" t="str">
        <f>IF(C175="BC",'Mix Design'!$B$9,IF(C175="DBM",'Mix Design'!$C$9,""))</f>
        <v/>
      </c>
      <c r="M175" s="10" t="str">
        <f>IF(C175="BC",Inputs!$C$17,IF(C175="DBM",Inputs!$C$18,""))</f>
        <v/>
      </c>
      <c r="N175" s="10" t="e">
        <f t="shared" si="73"/>
        <v>#VALUE!</v>
      </c>
      <c r="O175" s="10" t="e">
        <f t="shared" si="74"/>
        <v>#VALUE!</v>
      </c>
      <c r="P175" s="10" t="e">
        <f t="shared" si="75"/>
        <v>#VALUE!</v>
      </c>
      <c r="Q175" s="23" t="e">
        <f>IF(AND(P175&gt;0,Inputs!$C$6&gt;0),P175/Inputs!$C$6*Inputs!$C$7,"")</f>
        <v>#VALUE!</v>
      </c>
      <c r="R175" s="23" t="str">
        <f>IF(C175="BC",'Rate Model'!$C$19,IF(C175="DBM",'Rate Model'!$E$19,""))</f>
        <v/>
      </c>
      <c r="S175" s="11" t="e">
        <f t="shared" si="76"/>
        <v>#VALUE!</v>
      </c>
      <c r="T175" s="11" t="str">
        <f>IF(A175&lt;&gt;"",Inputs!$C$47,"")</f>
        <v/>
      </c>
      <c r="U175" s="11" t="str">
        <f>IF(A175&lt;&gt;"",Inputs!$C$48,"")</f>
        <v/>
      </c>
      <c r="V175" s="11">
        <v>2</v>
      </c>
      <c r="W175" s="11" t="str">
        <f>IF(A175&lt;&gt;"",Inputs!$C$49,"")</f>
        <v/>
      </c>
      <c r="X175" s="23">
        <v>0</v>
      </c>
      <c r="Y175" s="23" t="e">
        <f t="shared" si="77"/>
        <v>#VALUE!</v>
      </c>
      <c r="Z175" s="23" t="e">
        <f t="shared" si="78"/>
        <v>#VALUE!</v>
      </c>
      <c r="AA175" s="5" t="str">
        <f>IF(A175&lt;&gt;"",Inputs!$C$57,"")</f>
        <v/>
      </c>
      <c r="AB175" s="6" t="e">
        <f t="shared" si="79"/>
        <v>#VALUE!</v>
      </c>
      <c r="AC175" s="6"/>
      <c r="AD175" s="23"/>
      <c r="AE175" s="23">
        <f>IF(AND(J175&gt;0,AC175&gt;0),J175*AC175*Inputs!$C$71,0)</f>
        <v>0</v>
      </c>
      <c r="AF175" s="23">
        <f>IF(AND(J175&gt;0,AD175&gt;0),J175*AD175*Inputs!$C$72,0)</f>
        <v>0</v>
      </c>
      <c r="AG175" s="23" t="e">
        <f t="shared" si="80"/>
        <v>#VALUE!</v>
      </c>
      <c r="AH175" s="23" t="e">
        <f t="shared" si="81"/>
        <v>#VALUE!</v>
      </c>
      <c r="AI175" s="23" t="e">
        <f t="shared" si="82"/>
        <v>#VALUE!</v>
      </c>
      <c r="AJ175" s="23" t="e">
        <f t="shared" si="83"/>
        <v>#VALUE!</v>
      </c>
    </row>
    <row r="176" spans="1:36" x14ac:dyDescent="0.2">
      <c r="A176" s="6"/>
      <c r="B176" s="6"/>
      <c r="C176" s="6"/>
      <c r="D176" s="6"/>
      <c r="E176" s="11"/>
      <c r="F176" s="11"/>
      <c r="G176" s="11"/>
      <c r="H176" s="11"/>
      <c r="I176" s="10" t="str">
        <f t="shared" si="70"/>
        <v/>
      </c>
      <c r="J176" s="10" t="str">
        <f t="shared" si="71"/>
        <v/>
      </c>
      <c r="K176" s="14" t="str">
        <f t="shared" si="72"/>
        <v/>
      </c>
      <c r="L176" s="10" t="str">
        <f>IF(C176="BC",'Mix Design'!$B$9,IF(C176="DBM",'Mix Design'!$C$9,""))</f>
        <v/>
      </c>
      <c r="M176" s="10" t="str">
        <f>IF(C176="BC",Inputs!$C$17,IF(C176="DBM",Inputs!$C$18,""))</f>
        <v/>
      </c>
      <c r="N176" s="10" t="e">
        <f t="shared" si="73"/>
        <v>#VALUE!</v>
      </c>
      <c r="O176" s="10" t="e">
        <f t="shared" si="74"/>
        <v>#VALUE!</v>
      </c>
      <c r="P176" s="10" t="e">
        <f t="shared" si="75"/>
        <v>#VALUE!</v>
      </c>
      <c r="Q176" s="23" t="e">
        <f>IF(AND(P176&gt;0,Inputs!$C$6&gt;0),P176/Inputs!$C$6*Inputs!$C$7,"")</f>
        <v>#VALUE!</v>
      </c>
      <c r="R176" s="23" t="str">
        <f>IF(C176="BC",'Rate Model'!$C$19,IF(C176="DBM",'Rate Model'!$E$19,""))</f>
        <v/>
      </c>
      <c r="S176" s="11" t="e">
        <f t="shared" si="76"/>
        <v>#VALUE!</v>
      </c>
      <c r="T176" s="11" t="str">
        <f>IF(A176&lt;&gt;"",Inputs!$C$47,"")</f>
        <v/>
      </c>
      <c r="U176" s="11" t="str">
        <f>IF(A176&lt;&gt;"",Inputs!$C$48,"")</f>
        <v/>
      </c>
      <c r="V176" s="11">
        <v>2</v>
      </c>
      <c r="W176" s="11" t="str">
        <f>IF(A176&lt;&gt;"",Inputs!$C$49,"")</f>
        <v/>
      </c>
      <c r="X176" s="23">
        <v>0</v>
      </c>
      <c r="Y176" s="23" t="e">
        <f t="shared" si="77"/>
        <v>#VALUE!</v>
      </c>
      <c r="Z176" s="23" t="e">
        <f t="shared" si="78"/>
        <v>#VALUE!</v>
      </c>
      <c r="AA176" s="5" t="str">
        <f>IF(A176&lt;&gt;"",Inputs!$C$57,"")</f>
        <v/>
      </c>
      <c r="AB176" s="6" t="e">
        <f t="shared" si="79"/>
        <v>#VALUE!</v>
      </c>
      <c r="AC176" s="6"/>
      <c r="AD176" s="23"/>
      <c r="AE176" s="23">
        <f>IF(AND(J176&gt;0,AC176&gt;0),J176*AC176*Inputs!$C$71,0)</f>
        <v>0</v>
      </c>
      <c r="AF176" s="23">
        <f>IF(AND(J176&gt;0,AD176&gt;0),J176*AD176*Inputs!$C$72,0)</f>
        <v>0</v>
      </c>
      <c r="AG176" s="23" t="e">
        <f t="shared" si="80"/>
        <v>#VALUE!</v>
      </c>
      <c r="AH176" s="23" t="e">
        <f t="shared" si="81"/>
        <v>#VALUE!</v>
      </c>
      <c r="AI176" s="23" t="e">
        <f t="shared" si="82"/>
        <v>#VALUE!</v>
      </c>
      <c r="AJ176" s="23" t="e">
        <f t="shared" si="83"/>
        <v>#VALUE!</v>
      </c>
    </row>
    <row r="177" spans="1:36" x14ac:dyDescent="0.2">
      <c r="A177" s="6"/>
      <c r="B177" s="6"/>
      <c r="C177" s="6"/>
      <c r="D177" s="6"/>
      <c r="E177" s="11"/>
      <c r="F177" s="11"/>
      <c r="G177" s="11"/>
      <c r="H177" s="11"/>
      <c r="I177" s="10" t="str">
        <f t="shared" si="70"/>
        <v/>
      </c>
      <c r="J177" s="10" t="str">
        <f t="shared" si="71"/>
        <v/>
      </c>
      <c r="K177" s="14" t="str">
        <f t="shared" si="72"/>
        <v/>
      </c>
      <c r="L177" s="10" t="str">
        <f>IF(C177="BC",'Mix Design'!$B$9,IF(C177="DBM",'Mix Design'!$C$9,""))</f>
        <v/>
      </c>
      <c r="M177" s="10" t="str">
        <f>IF(C177="BC",Inputs!$C$17,IF(C177="DBM",Inputs!$C$18,""))</f>
        <v/>
      </c>
      <c r="N177" s="10" t="e">
        <f t="shared" si="73"/>
        <v>#VALUE!</v>
      </c>
      <c r="O177" s="10" t="e">
        <f t="shared" si="74"/>
        <v>#VALUE!</v>
      </c>
      <c r="P177" s="10" t="e">
        <f t="shared" si="75"/>
        <v>#VALUE!</v>
      </c>
      <c r="Q177" s="23" t="e">
        <f>IF(AND(P177&gt;0,Inputs!$C$6&gt;0),P177/Inputs!$C$6*Inputs!$C$7,"")</f>
        <v>#VALUE!</v>
      </c>
      <c r="R177" s="23" t="str">
        <f>IF(C177="BC",'Rate Model'!$C$19,IF(C177="DBM",'Rate Model'!$E$19,""))</f>
        <v/>
      </c>
      <c r="S177" s="11" t="e">
        <f t="shared" si="76"/>
        <v>#VALUE!</v>
      </c>
      <c r="T177" s="11" t="str">
        <f>IF(A177&lt;&gt;"",Inputs!$C$47,"")</f>
        <v/>
      </c>
      <c r="U177" s="11" t="str">
        <f>IF(A177&lt;&gt;"",Inputs!$C$48,"")</f>
        <v/>
      </c>
      <c r="V177" s="11">
        <v>2</v>
      </c>
      <c r="W177" s="11" t="str">
        <f>IF(A177&lt;&gt;"",Inputs!$C$49,"")</f>
        <v/>
      </c>
      <c r="X177" s="23">
        <v>0</v>
      </c>
      <c r="Y177" s="23" t="e">
        <f t="shared" si="77"/>
        <v>#VALUE!</v>
      </c>
      <c r="Z177" s="23" t="e">
        <f t="shared" si="78"/>
        <v>#VALUE!</v>
      </c>
      <c r="AA177" s="5" t="str">
        <f>IF(A177&lt;&gt;"",Inputs!$C$57,"")</f>
        <v/>
      </c>
      <c r="AB177" s="6" t="e">
        <f t="shared" si="79"/>
        <v>#VALUE!</v>
      </c>
      <c r="AC177" s="6"/>
      <c r="AD177" s="23"/>
      <c r="AE177" s="23">
        <f>IF(AND(J177&gt;0,AC177&gt;0),J177*AC177*Inputs!$C$71,0)</f>
        <v>0</v>
      </c>
      <c r="AF177" s="23">
        <f>IF(AND(J177&gt;0,AD177&gt;0),J177*AD177*Inputs!$C$72,0)</f>
        <v>0</v>
      </c>
      <c r="AG177" s="23" t="e">
        <f t="shared" si="80"/>
        <v>#VALUE!</v>
      </c>
      <c r="AH177" s="23" t="e">
        <f t="shared" si="81"/>
        <v>#VALUE!</v>
      </c>
      <c r="AI177" s="23" t="e">
        <f t="shared" si="82"/>
        <v>#VALUE!</v>
      </c>
      <c r="AJ177" s="23" t="e">
        <f t="shared" si="83"/>
        <v>#VALUE!</v>
      </c>
    </row>
    <row r="178" spans="1:36" x14ac:dyDescent="0.2">
      <c r="A178" s="6"/>
      <c r="B178" s="6"/>
      <c r="C178" s="6"/>
      <c r="D178" s="6"/>
      <c r="E178" s="11"/>
      <c r="F178" s="11"/>
      <c r="G178" s="11"/>
      <c r="H178" s="11"/>
      <c r="I178" s="10" t="str">
        <f t="shared" si="70"/>
        <v/>
      </c>
      <c r="J178" s="10" t="str">
        <f t="shared" si="71"/>
        <v/>
      </c>
      <c r="K178" s="14" t="str">
        <f t="shared" si="72"/>
        <v/>
      </c>
      <c r="L178" s="10" t="str">
        <f>IF(C178="BC",'Mix Design'!$B$9,IF(C178="DBM",'Mix Design'!$C$9,""))</f>
        <v/>
      </c>
      <c r="M178" s="10" t="str">
        <f>IF(C178="BC",Inputs!$C$17,IF(C178="DBM",Inputs!$C$18,""))</f>
        <v/>
      </c>
      <c r="N178" s="10" t="e">
        <f t="shared" si="73"/>
        <v>#VALUE!</v>
      </c>
      <c r="O178" s="10" t="e">
        <f t="shared" si="74"/>
        <v>#VALUE!</v>
      </c>
      <c r="P178" s="10" t="e">
        <f t="shared" si="75"/>
        <v>#VALUE!</v>
      </c>
      <c r="Q178" s="23" t="e">
        <f>IF(AND(P178&gt;0,Inputs!$C$6&gt;0),P178/Inputs!$C$6*Inputs!$C$7,"")</f>
        <v>#VALUE!</v>
      </c>
      <c r="R178" s="23" t="str">
        <f>IF(C178="BC",'Rate Model'!$C$19,IF(C178="DBM",'Rate Model'!$E$19,""))</f>
        <v/>
      </c>
      <c r="S178" s="11" t="e">
        <f t="shared" si="76"/>
        <v>#VALUE!</v>
      </c>
      <c r="T178" s="11" t="str">
        <f>IF(A178&lt;&gt;"",Inputs!$C$47,"")</f>
        <v/>
      </c>
      <c r="U178" s="11" t="str">
        <f>IF(A178&lt;&gt;"",Inputs!$C$48,"")</f>
        <v/>
      </c>
      <c r="V178" s="11">
        <v>2</v>
      </c>
      <c r="W178" s="11" t="str">
        <f>IF(A178&lt;&gt;"",Inputs!$C$49,"")</f>
        <v/>
      </c>
      <c r="X178" s="23">
        <v>0</v>
      </c>
      <c r="Y178" s="23" t="e">
        <f t="shared" si="77"/>
        <v>#VALUE!</v>
      </c>
      <c r="Z178" s="23" t="e">
        <f t="shared" si="78"/>
        <v>#VALUE!</v>
      </c>
      <c r="AA178" s="5" t="str">
        <f>IF(A178&lt;&gt;"",Inputs!$C$57,"")</f>
        <v/>
      </c>
      <c r="AB178" s="6" t="e">
        <f t="shared" si="79"/>
        <v>#VALUE!</v>
      </c>
      <c r="AC178" s="6"/>
      <c r="AD178" s="23"/>
      <c r="AE178" s="23">
        <f>IF(AND(J178&gt;0,AC178&gt;0),J178*AC178*Inputs!$C$71,0)</f>
        <v>0</v>
      </c>
      <c r="AF178" s="23">
        <f>IF(AND(J178&gt;0,AD178&gt;0),J178*AD178*Inputs!$C$72,0)</f>
        <v>0</v>
      </c>
      <c r="AG178" s="23" t="e">
        <f t="shared" si="80"/>
        <v>#VALUE!</v>
      </c>
      <c r="AH178" s="23" t="e">
        <f t="shared" si="81"/>
        <v>#VALUE!</v>
      </c>
      <c r="AI178" s="23" t="e">
        <f t="shared" si="82"/>
        <v>#VALUE!</v>
      </c>
      <c r="AJ178" s="23" t="e">
        <f t="shared" si="83"/>
        <v>#VALUE!</v>
      </c>
    </row>
    <row r="179" spans="1:36" x14ac:dyDescent="0.2">
      <c r="A179" s="6"/>
      <c r="B179" s="6"/>
      <c r="C179" s="6"/>
      <c r="D179" s="6"/>
      <c r="E179" s="11"/>
      <c r="F179" s="11"/>
      <c r="G179" s="11"/>
      <c r="H179" s="11"/>
      <c r="I179" s="10" t="str">
        <f t="shared" si="70"/>
        <v/>
      </c>
      <c r="J179" s="10" t="str">
        <f t="shared" si="71"/>
        <v/>
      </c>
      <c r="K179" s="14" t="str">
        <f t="shared" si="72"/>
        <v/>
      </c>
      <c r="L179" s="10" t="str">
        <f>IF(C179="BC",'Mix Design'!$B$9,IF(C179="DBM",'Mix Design'!$C$9,""))</f>
        <v/>
      </c>
      <c r="M179" s="10" t="str">
        <f>IF(C179="BC",Inputs!$C$17,IF(C179="DBM",Inputs!$C$18,""))</f>
        <v/>
      </c>
      <c r="N179" s="10" t="e">
        <f t="shared" si="73"/>
        <v>#VALUE!</v>
      </c>
      <c r="O179" s="10" t="e">
        <f t="shared" si="74"/>
        <v>#VALUE!</v>
      </c>
      <c r="P179" s="10" t="e">
        <f t="shared" si="75"/>
        <v>#VALUE!</v>
      </c>
      <c r="Q179" s="23" t="e">
        <f>IF(AND(P179&gt;0,Inputs!$C$6&gt;0),P179/Inputs!$C$6*Inputs!$C$7,"")</f>
        <v>#VALUE!</v>
      </c>
      <c r="R179" s="23" t="str">
        <f>IF(C179="BC",'Rate Model'!$C$19,IF(C179="DBM",'Rate Model'!$E$19,""))</f>
        <v/>
      </c>
      <c r="S179" s="11" t="e">
        <f t="shared" si="76"/>
        <v>#VALUE!</v>
      </c>
      <c r="T179" s="11" t="str">
        <f>IF(A179&lt;&gt;"",Inputs!$C$47,"")</f>
        <v/>
      </c>
      <c r="U179" s="11" t="str">
        <f>IF(A179&lt;&gt;"",Inputs!$C$48,"")</f>
        <v/>
      </c>
      <c r="V179" s="11">
        <v>2</v>
      </c>
      <c r="W179" s="11" t="str">
        <f>IF(A179&lt;&gt;"",Inputs!$C$49,"")</f>
        <v/>
      </c>
      <c r="X179" s="23">
        <v>0</v>
      </c>
      <c r="Y179" s="23" t="e">
        <f t="shared" si="77"/>
        <v>#VALUE!</v>
      </c>
      <c r="Z179" s="23" t="e">
        <f t="shared" si="78"/>
        <v>#VALUE!</v>
      </c>
      <c r="AA179" s="5" t="str">
        <f>IF(A179&lt;&gt;"",Inputs!$C$57,"")</f>
        <v/>
      </c>
      <c r="AB179" s="6" t="e">
        <f t="shared" si="79"/>
        <v>#VALUE!</v>
      </c>
      <c r="AC179" s="6"/>
      <c r="AD179" s="23"/>
      <c r="AE179" s="23">
        <f>IF(AND(J179&gt;0,AC179&gt;0),J179*AC179*Inputs!$C$71,0)</f>
        <v>0</v>
      </c>
      <c r="AF179" s="23">
        <f>IF(AND(J179&gt;0,AD179&gt;0),J179*AD179*Inputs!$C$72,0)</f>
        <v>0</v>
      </c>
      <c r="AG179" s="23" t="e">
        <f t="shared" si="80"/>
        <v>#VALUE!</v>
      </c>
      <c r="AH179" s="23" t="e">
        <f t="shared" si="81"/>
        <v>#VALUE!</v>
      </c>
      <c r="AI179" s="23" t="e">
        <f t="shared" si="82"/>
        <v>#VALUE!</v>
      </c>
      <c r="AJ179" s="23" t="e">
        <f t="shared" si="83"/>
        <v>#VALUE!</v>
      </c>
    </row>
    <row r="180" spans="1:36" x14ac:dyDescent="0.2">
      <c r="A180" s="6"/>
      <c r="B180" s="6"/>
      <c r="C180" s="6"/>
      <c r="D180" s="6"/>
      <c r="E180" s="11"/>
      <c r="F180" s="11"/>
      <c r="G180" s="11"/>
      <c r="H180" s="11"/>
      <c r="I180" s="10" t="str">
        <f t="shared" si="70"/>
        <v/>
      </c>
      <c r="J180" s="10" t="str">
        <f t="shared" si="71"/>
        <v/>
      </c>
      <c r="K180" s="14" t="str">
        <f t="shared" si="72"/>
        <v/>
      </c>
      <c r="L180" s="10" t="str">
        <f>IF(C180="BC",'Mix Design'!$B$9,IF(C180="DBM",'Mix Design'!$C$9,""))</f>
        <v/>
      </c>
      <c r="M180" s="10" t="str">
        <f>IF(C180="BC",Inputs!$C$17,IF(C180="DBM",Inputs!$C$18,""))</f>
        <v/>
      </c>
      <c r="N180" s="10" t="e">
        <f t="shared" si="73"/>
        <v>#VALUE!</v>
      </c>
      <c r="O180" s="10" t="e">
        <f t="shared" si="74"/>
        <v>#VALUE!</v>
      </c>
      <c r="P180" s="10" t="e">
        <f t="shared" si="75"/>
        <v>#VALUE!</v>
      </c>
      <c r="Q180" s="23" t="e">
        <f>IF(AND(P180&gt;0,Inputs!$C$6&gt;0),P180/Inputs!$C$6*Inputs!$C$7,"")</f>
        <v>#VALUE!</v>
      </c>
      <c r="R180" s="23" t="str">
        <f>IF(C180="BC",'Rate Model'!$C$19,IF(C180="DBM",'Rate Model'!$E$19,""))</f>
        <v/>
      </c>
      <c r="S180" s="11" t="e">
        <f t="shared" si="76"/>
        <v>#VALUE!</v>
      </c>
      <c r="T180" s="11" t="str">
        <f>IF(A180&lt;&gt;"",Inputs!$C$47,"")</f>
        <v/>
      </c>
      <c r="U180" s="11" t="str">
        <f>IF(A180&lt;&gt;"",Inputs!$C$48,"")</f>
        <v/>
      </c>
      <c r="V180" s="11">
        <v>2</v>
      </c>
      <c r="W180" s="11" t="str">
        <f>IF(A180&lt;&gt;"",Inputs!$C$49,"")</f>
        <v/>
      </c>
      <c r="X180" s="23">
        <v>0</v>
      </c>
      <c r="Y180" s="23" t="e">
        <f t="shared" si="77"/>
        <v>#VALUE!</v>
      </c>
      <c r="Z180" s="23" t="e">
        <f t="shared" si="78"/>
        <v>#VALUE!</v>
      </c>
      <c r="AA180" s="5" t="str">
        <f>IF(A180&lt;&gt;"",Inputs!$C$57,"")</f>
        <v/>
      </c>
      <c r="AB180" s="6" t="e">
        <f t="shared" si="79"/>
        <v>#VALUE!</v>
      </c>
      <c r="AC180" s="6"/>
      <c r="AD180" s="23"/>
      <c r="AE180" s="23">
        <f>IF(AND(J180&gt;0,AC180&gt;0),J180*AC180*Inputs!$C$71,0)</f>
        <v>0</v>
      </c>
      <c r="AF180" s="23">
        <f>IF(AND(J180&gt;0,AD180&gt;0),J180*AD180*Inputs!$C$72,0)</f>
        <v>0</v>
      </c>
      <c r="AG180" s="23" t="e">
        <f t="shared" si="80"/>
        <v>#VALUE!</v>
      </c>
      <c r="AH180" s="23" t="e">
        <f t="shared" si="81"/>
        <v>#VALUE!</v>
      </c>
      <c r="AI180" s="23" t="e">
        <f t="shared" si="82"/>
        <v>#VALUE!</v>
      </c>
      <c r="AJ180" s="23" t="e">
        <f t="shared" si="83"/>
        <v>#VALUE!</v>
      </c>
    </row>
    <row r="181" spans="1:36" x14ac:dyDescent="0.2">
      <c r="A181" s="6"/>
      <c r="B181" s="6"/>
      <c r="C181" s="6"/>
      <c r="D181" s="6"/>
      <c r="E181" s="11"/>
      <c r="F181" s="11"/>
      <c r="G181" s="11"/>
      <c r="H181" s="11"/>
      <c r="I181" s="10" t="str">
        <f t="shared" si="70"/>
        <v/>
      </c>
      <c r="J181" s="10" t="str">
        <f t="shared" si="71"/>
        <v/>
      </c>
      <c r="K181" s="14" t="str">
        <f t="shared" si="72"/>
        <v/>
      </c>
      <c r="L181" s="10" t="str">
        <f>IF(C181="BC",'Mix Design'!$B$9,IF(C181="DBM",'Mix Design'!$C$9,""))</f>
        <v/>
      </c>
      <c r="M181" s="10" t="str">
        <f>IF(C181="BC",Inputs!$C$17,IF(C181="DBM",Inputs!$C$18,""))</f>
        <v/>
      </c>
      <c r="N181" s="10" t="e">
        <f t="shared" si="73"/>
        <v>#VALUE!</v>
      </c>
      <c r="O181" s="10" t="e">
        <f t="shared" si="74"/>
        <v>#VALUE!</v>
      </c>
      <c r="P181" s="10" t="e">
        <f t="shared" si="75"/>
        <v>#VALUE!</v>
      </c>
      <c r="Q181" s="23" t="e">
        <f>IF(AND(P181&gt;0,Inputs!$C$6&gt;0),P181/Inputs!$C$6*Inputs!$C$7,"")</f>
        <v>#VALUE!</v>
      </c>
      <c r="R181" s="23" t="str">
        <f>IF(C181="BC",'Rate Model'!$C$19,IF(C181="DBM",'Rate Model'!$E$19,""))</f>
        <v/>
      </c>
      <c r="S181" s="11" t="e">
        <f t="shared" si="76"/>
        <v>#VALUE!</v>
      </c>
      <c r="T181" s="11" t="str">
        <f>IF(A181&lt;&gt;"",Inputs!$C$47,"")</f>
        <v/>
      </c>
      <c r="U181" s="11" t="str">
        <f>IF(A181&lt;&gt;"",Inputs!$C$48,"")</f>
        <v/>
      </c>
      <c r="V181" s="11">
        <v>2</v>
      </c>
      <c r="W181" s="11" t="str">
        <f>IF(A181&lt;&gt;"",Inputs!$C$49,"")</f>
        <v/>
      </c>
      <c r="X181" s="23">
        <v>0</v>
      </c>
      <c r="Y181" s="23" t="e">
        <f t="shared" si="77"/>
        <v>#VALUE!</v>
      </c>
      <c r="Z181" s="23" t="e">
        <f t="shared" si="78"/>
        <v>#VALUE!</v>
      </c>
      <c r="AA181" s="5" t="str">
        <f>IF(A181&lt;&gt;"",Inputs!$C$57,"")</f>
        <v/>
      </c>
      <c r="AB181" s="6" t="e">
        <f t="shared" si="79"/>
        <v>#VALUE!</v>
      </c>
      <c r="AC181" s="6"/>
      <c r="AD181" s="23"/>
      <c r="AE181" s="23">
        <f>IF(AND(J181&gt;0,AC181&gt;0),J181*AC181*Inputs!$C$71,0)</f>
        <v>0</v>
      </c>
      <c r="AF181" s="23">
        <f>IF(AND(J181&gt;0,AD181&gt;0),J181*AD181*Inputs!$C$72,0)</f>
        <v>0</v>
      </c>
      <c r="AG181" s="23" t="e">
        <f t="shared" si="80"/>
        <v>#VALUE!</v>
      </c>
      <c r="AH181" s="23" t="e">
        <f t="shared" si="81"/>
        <v>#VALUE!</v>
      </c>
      <c r="AI181" s="23" t="e">
        <f t="shared" si="82"/>
        <v>#VALUE!</v>
      </c>
      <c r="AJ181" s="23" t="e">
        <f t="shared" si="83"/>
        <v>#VALUE!</v>
      </c>
    </row>
    <row r="182" spans="1:36" x14ac:dyDescent="0.2">
      <c r="A182" s="6"/>
      <c r="B182" s="6"/>
      <c r="C182" s="6"/>
      <c r="D182" s="6"/>
      <c r="E182" s="11"/>
      <c r="F182" s="11"/>
      <c r="G182" s="11"/>
      <c r="H182" s="11"/>
      <c r="I182" s="10" t="str">
        <f t="shared" si="70"/>
        <v/>
      </c>
      <c r="J182" s="10" t="str">
        <f t="shared" si="71"/>
        <v/>
      </c>
      <c r="K182" s="14" t="str">
        <f t="shared" si="72"/>
        <v/>
      </c>
      <c r="L182" s="10" t="str">
        <f>IF(C182="BC",'Mix Design'!$B$9,IF(C182="DBM",'Mix Design'!$C$9,""))</f>
        <v/>
      </c>
      <c r="M182" s="10" t="str">
        <f>IF(C182="BC",Inputs!$C$17,IF(C182="DBM",Inputs!$C$18,""))</f>
        <v/>
      </c>
      <c r="N182" s="10" t="e">
        <f t="shared" si="73"/>
        <v>#VALUE!</v>
      </c>
      <c r="O182" s="10" t="e">
        <f t="shared" si="74"/>
        <v>#VALUE!</v>
      </c>
      <c r="P182" s="10" t="e">
        <f t="shared" si="75"/>
        <v>#VALUE!</v>
      </c>
      <c r="Q182" s="23" t="e">
        <f>IF(AND(P182&gt;0,Inputs!$C$6&gt;0),P182/Inputs!$C$6*Inputs!$C$7,"")</f>
        <v>#VALUE!</v>
      </c>
      <c r="R182" s="23" t="str">
        <f>IF(C182="BC",'Rate Model'!$C$19,IF(C182="DBM",'Rate Model'!$E$19,""))</f>
        <v/>
      </c>
      <c r="S182" s="11" t="e">
        <f t="shared" si="76"/>
        <v>#VALUE!</v>
      </c>
      <c r="T182" s="11" t="str">
        <f>IF(A182&lt;&gt;"",Inputs!$C$47,"")</f>
        <v/>
      </c>
      <c r="U182" s="11" t="str">
        <f>IF(A182&lt;&gt;"",Inputs!$C$48,"")</f>
        <v/>
      </c>
      <c r="V182" s="11">
        <v>2</v>
      </c>
      <c r="W182" s="11" t="str">
        <f>IF(A182&lt;&gt;"",Inputs!$C$49,"")</f>
        <v/>
      </c>
      <c r="X182" s="23">
        <v>0</v>
      </c>
      <c r="Y182" s="23" t="e">
        <f t="shared" si="77"/>
        <v>#VALUE!</v>
      </c>
      <c r="Z182" s="23" t="e">
        <f t="shared" si="78"/>
        <v>#VALUE!</v>
      </c>
      <c r="AA182" s="5" t="str">
        <f>IF(A182&lt;&gt;"",Inputs!$C$57,"")</f>
        <v/>
      </c>
      <c r="AB182" s="6" t="e">
        <f t="shared" si="79"/>
        <v>#VALUE!</v>
      </c>
      <c r="AC182" s="6"/>
      <c r="AD182" s="23"/>
      <c r="AE182" s="23">
        <f>IF(AND(J182&gt;0,AC182&gt;0),J182*AC182*Inputs!$C$71,0)</f>
        <v>0</v>
      </c>
      <c r="AF182" s="23">
        <f>IF(AND(J182&gt;0,AD182&gt;0),J182*AD182*Inputs!$C$72,0)</f>
        <v>0</v>
      </c>
      <c r="AG182" s="23" t="e">
        <f t="shared" si="80"/>
        <v>#VALUE!</v>
      </c>
      <c r="AH182" s="23" t="e">
        <f t="shared" si="81"/>
        <v>#VALUE!</v>
      </c>
      <c r="AI182" s="23" t="e">
        <f t="shared" si="82"/>
        <v>#VALUE!</v>
      </c>
      <c r="AJ182" s="23" t="e">
        <f t="shared" si="83"/>
        <v>#VALUE!</v>
      </c>
    </row>
    <row r="183" spans="1:36" x14ac:dyDescent="0.2">
      <c r="A183" s="6"/>
      <c r="B183" s="6"/>
      <c r="C183" s="6"/>
      <c r="D183" s="6"/>
      <c r="E183" s="11"/>
      <c r="F183" s="11"/>
      <c r="G183" s="11"/>
      <c r="H183" s="11"/>
      <c r="I183" s="10" t="str">
        <f t="shared" si="70"/>
        <v/>
      </c>
      <c r="J183" s="10" t="str">
        <f t="shared" si="71"/>
        <v/>
      </c>
      <c r="K183" s="14" t="str">
        <f t="shared" si="72"/>
        <v/>
      </c>
      <c r="L183" s="10" t="str">
        <f>IF(C183="BC",'Mix Design'!$B$9,IF(C183="DBM",'Mix Design'!$C$9,""))</f>
        <v/>
      </c>
      <c r="M183" s="10" t="str">
        <f>IF(C183="BC",Inputs!$C$17,IF(C183="DBM",Inputs!$C$18,""))</f>
        <v/>
      </c>
      <c r="N183" s="10" t="e">
        <f t="shared" si="73"/>
        <v>#VALUE!</v>
      </c>
      <c r="O183" s="10" t="e">
        <f t="shared" si="74"/>
        <v>#VALUE!</v>
      </c>
      <c r="P183" s="10" t="e">
        <f t="shared" si="75"/>
        <v>#VALUE!</v>
      </c>
      <c r="Q183" s="23" t="e">
        <f>IF(AND(P183&gt;0,Inputs!$C$6&gt;0),P183/Inputs!$C$6*Inputs!$C$7,"")</f>
        <v>#VALUE!</v>
      </c>
      <c r="R183" s="23" t="str">
        <f>IF(C183="BC",'Rate Model'!$C$19,IF(C183="DBM",'Rate Model'!$E$19,""))</f>
        <v/>
      </c>
      <c r="S183" s="11" t="e">
        <f t="shared" si="76"/>
        <v>#VALUE!</v>
      </c>
      <c r="T183" s="11" t="str">
        <f>IF(A183&lt;&gt;"",Inputs!$C$47,"")</f>
        <v/>
      </c>
      <c r="U183" s="11" t="str">
        <f>IF(A183&lt;&gt;"",Inputs!$C$48,"")</f>
        <v/>
      </c>
      <c r="V183" s="11">
        <v>2</v>
      </c>
      <c r="W183" s="11" t="str">
        <f>IF(A183&lt;&gt;"",Inputs!$C$49,"")</f>
        <v/>
      </c>
      <c r="X183" s="23">
        <v>0</v>
      </c>
      <c r="Y183" s="23" t="e">
        <f t="shared" si="77"/>
        <v>#VALUE!</v>
      </c>
      <c r="Z183" s="23" t="e">
        <f t="shared" si="78"/>
        <v>#VALUE!</v>
      </c>
      <c r="AA183" s="5" t="str">
        <f>IF(A183&lt;&gt;"",Inputs!$C$57,"")</f>
        <v/>
      </c>
      <c r="AB183" s="6" t="e">
        <f t="shared" si="79"/>
        <v>#VALUE!</v>
      </c>
      <c r="AC183" s="6"/>
      <c r="AD183" s="23"/>
      <c r="AE183" s="23">
        <f>IF(AND(J183&gt;0,AC183&gt;0),J183*AC183*Inputs!$C$71,0)</f>
        <v>0</v>
      </c>
      <c r="AF183" s="23">
        <f>IF(AND(J183&gt;0,AD183&gt;0),J183*AD183*Inputs!$C$72,0)</f>
        <v>0</v>
      </c>
      <c r="AG183" s="23" t="e">
        <f t="shared" si="80"/>
        <v>#VALUE!</v>
      </c>
      <c r="AH183" s="23" t="e">
        <f t="shared" si="81"/>
        <v>#VALUE!</v>
      </c>
      <c r="AI183" s="23" t="e">
        <f t="shared" si="82"/>
        <v>#VALUE!</v>
      </c>
      <c r="AJ183" s="23" t="e">
        <f t="shared" si="83"/>
        <v>#VALUE!</v>
      </c>
    </row>
    <row r="184" spans="1:36" x14ac:dyDescent="0.2">
      <c r="A184" s="6"/>
      <c r="B184" s="6"/>
      <c r="C184" s="6"/>
      <c r="D184" s="6"/>
      <c r="E184" s="11"/>
      <c r="F184" s="11"/>
      <c r="G184" s="11"/>
      <c r="H184" s="11"/>
      <c r="I184" s="10" t="str">
        <f t="shared" si="70"/>
        <v/>
      </c>
      <c r="J184" s="10" t="str">
        <f t="shared" si="71"/>
        <v/>
      </c>
      <c r="K184" s="14" t="str">
        <f t="shared" si="72"/>
        <v/>
      </c>
      <c r="L184" s="10" t="str">
        <f>IF(C184="BC",'Mix Design'!$B$9,IF(C184="DBM",'Mix Design'!$C$9,""))</f>
        <v/>
      </c>
      <c r="M184" s="10" t="str">
        <f>IF(C184="BC",Inputs!$C$17,IF(C184="DBM",Inputs!$C$18,""))</f>
        <v/>
      </c>
      <c r="N184" s="10" t="e">
        <f t="shared" si="73"/>
        <v>#VALUE!</v>
      </c>
      <c r="O184" s="10" t="e">
        <f t="shared" si="74"/>
        <v>#VALUE!</v>
      </c>
      <c r="P184" s="10" t="e">
        <f t="shared" si="75"/>
        <v>#VALUE!</v>
      </c>
      <c r="Q184" s="23" t="e">
        <f>IF(AND(P184&gt;0,Inputs!$C$6&gt;0),P184/Inputs!$C$6*Inputs!$C$7,"")</f>
        <v>#VALUE!</v>
      </c>
      <c r="R184" s="23" t="str">
        <f>IF(C184="BC",'Rate Model'!$C$19,IF(C184="DBM",'Rate Model'!$E$19,""))</f>
        <v/>
      </c>
      <c r="S184" s="11" t="e">
        <f t="shared" si="76"/>
        <v>#VALUE!</v>
      </c>
      <c r="T184" s="11" t="str">
        <f>IF(A184&lt;&gt;"",Inputs!$C$47,"")</f>
        <v/>
      </c>
      <c r="U184" s="11" t="str">
        <f>IF(A184&lt;&gt;"",Inputs!$C$48,"")</f>
        <v/>
      </c>
      <c r="V184" s="11">
        <v>2</v>
      </c>
      <c r="W184" s="11" t="str">
        <f>IF(A184&lt;&gt;"",Inputs!$C$49,"")</f>
        <v/>
      </c>
      <c r="X184" s="23">
        <v>0</v>
      </c>
      <c r="Y184" s="23" t="e">
        <f t="shared" si="77"/>
        <v>#VALUE!</v>
      </c>
      <c r="Z184" s="23" t="e">
        <f t="shared" si="78"/>
        <v>#VALUE!</v>
      </c>
      <c r="AA184" s="5" t="str">
        <f>IF(A184&lt;&gt;"",Inputs!$C$57,"")</f>
        <v/>
      </c>
      <c r="AB184" s="6" t="e">
        <f t="shared" si="79"/>
        <v>#VALUE!</v>
      </c>
      <c r="AC184" s="6"/>
      <c r="AD184" s="23"/>
      <c r="AE184" s="23">
        <f>IF(AND(J184&gt;0,AC184&gt;0),J184*AC184*Inputs!$C$71,0)</f>
        <v>0</v>
      </c>
      <c r="AF184" s="23">
        <f>IF(AND(J184&gt;0,AD184&gt;0),J184*AD184*Inputs!$C$72,0)</f>
        <v>0</v>
      </c>
      <c r="AG184" s="23" t="e">
        <f t="shared" si="80"/>
        <v>#VALUE!</v>
      </c>
      <c r="AH184" s="23" t="e">
        <f t="shared" si="81"/>
        <v>#VALUE!</v>
      </c>
      <c r="AI184" s="23" t="e">
        <f t="shared" si="82"/>
        <v>#VALUE!</v>
      </c>
      <c r="AJ184" s="23" t="e">
        <f t="shared" si="83"/>
        <v>#VALUE!</v>
      </c>
    </row>
    <row r="185" spans="1:36" x14ac:dyDescent="0.2">
      <c r="A185" s="6"/>
      <c r="B185" s="6"/>
      <c r="C185" s="6"/>
      <c r="D185" s="6"/>
      <c r="E185" s="11"/>
      <c r="F185" s="11"/>
      <c r="G185" s="11"/>
      <c r="H185" s="11"/>
      <c r="I185" s="10" t="str">
        <f t="shared" si="70"/>
        <v/>
      </c>
      <c r="J185" s="10" t="str">
        <f t="shared" si="71"/>
        <v/>
      </c>
      <c r="K185" s="14" t="str">
        <f t="shared" si="72"/>
        <v/>
      </c>
      <c r="L185" s="10" t="str">
        <f>IF(C185="BC",'Mix Design'!$B$9,IF(C185="DBM",'Mix Design'!$C$9,""))</f>
        <v/>
      </c>
      <c r="M185" s="10" t="str">
        <f>IF(C185="BC",Inputs!$C$17,IF(C185="DBM",Inputs!$C$18,""))</f>
        <v/>
      </c>
      <c r="N185" s="10" t="e">
        <f t="shared" si="73"/>
        <v>#VALUE!</v>
      </c>
      <c r="O185" s="10" t="e">
        <f t="shared" si="74"/>
        <v>#VALUE!</v>
      </c>
      <c r="P185" s="10" t="e">
        <f t="shared" si="75"/>
        <v>#VALUE!</v>
      </c>
      <c r="Q185" s="23" t="e">
        <f>IF(AND(P185&gt;0,Inputs!$C$6&gt;0),P185/Inputs!$C$6*Inputs!$C$7,"")</f>
        <v>#VALUE!</v>
      </c>
      <c r="R185" s="23" t="str">
        <f>IF(C185="BC",'Rate Model'!$C$19,IF(C185="DBM",'Rate Model'!$E$19,""))</f>
        <v/>
      </c>
      <c r="S185" s="11" t="e">
        <f t="shared" si="76"/>
        <v>#VALUE!</v>
      </c>
      <c r="T185" s="11" t="str">
        <f>IF(A185&lt;&gt;"",Inputs!$C$47,"")</f>
        <v/>
      </c>
      <c r="U185" s="11" t="str">
        <f>IF(A185&lt;&gt;"",Inputs!$C$48,"")</f>
        <v/>
      </c>
      <c r="V185" s="11">
        <v>2</v>
      </c>
      <c r="W185" s="11" t="str">
        <f>IF(A185&lt;&gt;"",Inputs!$C$49,"")</f>
        <v/>
      </c>
      <c r="X185" s="23">
        <v>0</v>
      </c>
      <c r="Y185" s="23" t="e">
        <f t="shared" si="77"/>
        <v>#VALUE!</v>
      </c>
      <c r="Z185" s="23" t="e">
        <f t="shared" si="78"/>
        <v>#VALUE!</v>
      </c>
      <c r="AA185" s="5" t="str">
        <f>IF(A185&lt;&gt;"",Inputs!$C$57,"")</f>
        <v/>
      </c>
      <c r="AB185" s="6" t="e">
        <f t="shared" si="79"/>
        <v>#VALUE!</v>
      </c>
      <c r="AC185" s="6"/>
      <c r="AD185" s="23"/>
      <c r="AE185" s="23">
        <f>IF(AND(J185&gt;0,AC185&gt;0),J185*AC185*Inputs!$C$71,0)</f>
        <v>0</v>
      </c>
      <c r="AF185" s="23">
        <f>IF(AND(J185&gt;0,AD185&gt;0),J185*AD185*Inputs!$C$72,0)</f>
        <v>0</v>
      </c>
      <c r="AG185" s="23" t="e">
        <f t="shared" si="80"/>
        <v>#VALUE!</v>
      </c>
      <c r="AH185" s="23" t="e">
        <f t="shared" si="81"/>
        <v>#VALUE!</v>
      </c>
      <c r="AI185" s="23" t="e">
        <f t="shared" si="82"/>
        <v>#VALUE!</v>
      </c>
      <c r="AJ185" s="23" t="e">
        <f t="shared" si="83"/>
        <v>#VALUE!</v>
      </c>
    </row>
    <row r="186" spans="1:36" x14ac:dyDescent="0.2">
      <c r="A186" s="6"/>
      <c r="B186" s="6"/>
      <c r="C186" s="6"/>
      <c r="D186" s="6"/>
      <c r="E186" s="11"/>
      <c r="F186" s="11"/>
      <c r="G186" s="11"/>
      <c r="H186" s="11"/>
      <c r="I186" s="10" t="str">
        <f t="shared" si="70"/>
        <v/>
      </c>
      <c r="J186" s="10" t="str">
        <f t="shared" si="71"/>
        <v/>
      </c>
      <c r="K186" s="14" t="str">
        <f t="shared" si="72"/>
        <v/>
      </c>
      <c r="L186" s="10" t="str">
        <f>IF(C186="BC",'Mix Design'!$B$9,IF(C186="DBM",'Mix Design'!$C$9,""))</f>
        <v/>
      </c>
      <c r="M186" s="10" t="str">
        <f>IF(C186="BC",Inputs!$C$17,IF(C186="DBM",Inputs!$C$18,""))</f>
        <v/>
      </c>
      <c r="N186" s="10" t="e">
        <f t="shared" si="73"/>
        <v>#VALUE!</v>
      </c>
      <c r="O186" s="10" t="e">
        <f t="shared" si="74"/>
        <v>#VALUE!</v>
      </c>
      <c r="P186" s="10" t="e">
        <f t="shared" si="75"/>
        <v>#VALUE!</v>
      </c>
      <c r="Q186" s="23" t="e">
        <f>IF(AND(P186&gt;0,Inputs!$C$6&gt;0),P186/Inputs!$C$6*Inputs!$C$7,"")</f>
        <v>#VALUE!</v>
      </c>
      <c r="R186" s="23" t="str">
        <f>IF(C186="BC",'Rate Model'!$C$19,IF(C186="DBM",'Rate Model'!$E$19,""))</f>
        <v/>
      </c>
      <c r="S186" s="11" t="e">
        <f t="shared" si="76"/>
        <v>#VALUE!</v>
      </c>
      <c r="T186" s="11" t="str">
        <f>IF(A186&lt;&gt;"",Inputs!$C$47,"")</f>
        <v/>
      </c>
      <c r="U186" s="11" t="str">
        <f>IF(A186&lt;&gt;"",Inputs!$C$48,"")</f>
        <v/>
      </c>
      <c r="V186" s="11">
        <v>2</v>
      </c>
      <c r="W186" s="11" t="str">
        <f>IF(A186&lt;&gt;"",Inputs!$C$49,"")</f>
        <v/>
      </c>
      <c r="X186" s="23">
        <v>0</v>
      </c>
      <c r="Y186" s="23" t="e">
        <f t="shared" si="77"/>
        <v>#VALUE!</v>
      </c>
      <c r="Z186" s="23" t="e">
        <f t="shared" si="78"/>
        <v>#VALUE!</v>
      </c>
      <c r="AA186" s="5" t="str">
        <f>IF(A186&lt;&gt;"",Inputs!$C$57,"")</f>
        <v/>
      </c>
      <c r="AB186" s="6" t="e">
        <f t="shared" si="79"/>
        <v>#VALUE!</v>
      </c>
      <c r="AC186" s="6"/>
      <c r="AD186" s="23"/>
      <c r="AE186" s="23">
        <f>IF(AND(J186&gt;0,AC186&gt;0),J186*AC186*Inputs!$C$71,0)</f>
        <v>0</v>
      </c>
      <c r="AF186" s="23">
        <f>IF(AND(J186&gt;0,AD186&gt;0),J186*AD186*Inputs!$C$72,0)</f>
        <v>0</v>
      </c>
      <c r="AG186" s="23" t="e">
        <f t="shared" si="80"/>
        <v>#VALUE!</v>
      </c>
      <c r="AH186" s="23" t="e">
        <f t="shared" si="81"/>
        <v>#VALUE!</v>
      </c>
      <c r="AI186" s="23" t="e">
        <f t="shared" si="82"/>
        <v>#VALUE!</v>
      </c>
      <c r="AJ186" s="23" t="e">
        <f t="shared" si="83"/>
        <v>#VALUE!</v>
      </c>
    </row>
    <row r="187" spans="1:36" x14ac:dyDescent="0.2">
      <c r="A187" s="6"/>
      <c r="B187" s="6"/>
      <c r="C187" s="6"/>
      <c r="D187" s="6"/>
      <c r="E187" s="11"/>
      <c r="F187" s="11"/>
      <c r="G187" s="11"/>
      <c r="H187" s="11"/>
      <c r="I187" s="10" t="str">
        <f t="shared" si="70"/>
        <v/>
      </c>
      <c r="J187" s="10" t="str">
        <f t="shared" si="71"/>
        <v/>
      </c>
      <c r="K187" s="14" t="str">
        <f t="shared" si="72"/>
        <v/>
      </c>
      <c r="L187" s="10" t="str">
        <f>IF(C187="BC",'Mix Design'!$B$9,IF(C187="DBM",'Mix Design'!$C$9,""))</f>
        <v/>
      </c>
      <c r="M187" s="10" t="str">
        <f>IF(C187="BC",Inputs!$C$17,IF(C187="DBM",Inputs!$C$18,""))</f>
        <v/>
      </c>
      <c r="N187" s="10" t="e">
        <f t="shared" si="73"/>
        <v>#VALUE!</v>
      </c>
      <c r="O187" s="10" t="e">
        <f t="shared" si="74"/>
        <v>#VALUE!</v>
      </c>
      <c r="P187" s="10" t="e">
        <f t="shared" si="75"/>
        <v>#VALUE!</v>
      </c>
      <c r="Q187" s="23" t="e">
        <f>IF(AND(P187&gt;0,Inputs!$C$6&gt;0),P187/Inputs!$C$6*Inputs!$C$7,"")</f>
        <v>#VALUE!</v>
      </c>
      <c r="R187" s="23" t="str">
        <f>IF(C187="BC",'Rate Model'!$C$19,IF(C187="DBM",'Rate Model'!$E$19,""))</f>
        <v/>
      </c>
      <c r="S187" s="11" t="e">
        <f t="shared" si="76"/>
        <v>#VALUE!</v>
      </c>
      <c r="T187" s="11" t="str">
        <f>IF(A187&lt;&gt;"",Inputs!$C$47,"")</f>
        <v/>
      </c>
      <c r="U187" s="11" t="str">
        <f>IF(A187&lt;&gt;"",Inputs!$C$48,"")</f>
        <v/>
      </c>
      <c r="V187" s="11">
        <v>2</v>
      </c>
      <c r="W187" s="11" t="str">
        <f>IF(A187&lt;&gt;"",Inputs!$C$49,"")</f>
        <v/>
      </c>
      <c r="X187" s="23">
        <v>0</v>
      </c>
      <c r="Y187" s="23" t="e">
        <f t="shared" si="77"/>
        <v>#VALUE!</v>
      </c>
      <c r="Z187" s="23" t="e">
        <f t="shared" si="78"/>
        <v>#VALUE!</v>
      </c>
      <c r="AA187" s="5" t="str">
        <f>IF(A187&lt;&gt;"",Inputs!$C$57,"")</f>
        <v/>
      </c>
      <c r="AB187" s="6" t="e">
        <f t="shared" si="79"/>
        <v>#VALUE!</v>
      </c>
      <c r="AC187" s="6"/>
      <c r="AD187" s="23"/>
      <c r="AE187" s="23">
        <f>IF(AND(J187&gt;0,AC187&gt;0),J187*AC187*Inputs!$C$71,0)</f>
        <v>0</v>
      </c>
      <c r="AF187" s="23">
        <f>IF(AND(J187&gt;0,AD187&gt;0),J187*AD187*Inputs!$C$72,0)</f>
        <v>0</v>
      </c>
      <c r="AG187" s="23" t="e">
        <f t="shared" si="80"/>
        <v>#VALUE!</v>
      </c>
      <c r="AH187" s="23" t="e">
        <f t="shared" si="81"/>
        <v>#VALUE!</v>
      </c>
      <c r="AI187" s="23" t="e">
        <f t="shared" si="82"/>
        <v>#VALUE!</v>
      </c>
      <c r="AJ187" s="23" t="e">
        <f t="shared" si="83"/>
        <v>#VALUE!</v>
      </c>
    </row>
    <row r="188" spans="1:36" x14ac:dyDescent="0.2">
      <c r="A188" s="6"/>
      <c r="B188" s="6"/>
      <c r="C188" s="6"/>
      <c r="D188" s="6"/>
      <c r="E188" s="11"/>
      <c r="F188" s="11"/>
      <c r="G188" s="11"/>
      <c r="H188" s="11"/>
      <c r="I188" s="10" t="str">
        <f t="shared" si="70"/>
        <v/>
      </c>
      <c r="J188" s="10" t="str">
        <f t="shared" si="71"/>
        <v/>
      </c>
      <c r="K188" s="14" t="str">
        <f t="shared" si="72"/>
        <v/>
      </c>
      <c r="L188" s="10" t="str">
        <f>IF(C188="BC",'Mix Design'!$B$9,IF(C188="DBM",'Mix Design'!$C$9,""))</f>
        <v/>
      </c>
      <c r="M188" s="10" t="str">
        <f>IF(C188="BC",Inputs!$C$17,IF(C188="DBM",Inputs!$C$18,""))</f>
        <v/>
      </c>
      <c r="N188" s="10" t="e">
        <f t="shared" si="73"/>
        <v>#VALUE!</v>
      </c>
      <c r="O188" s="10" t="e">
        <f t="shared" si="74"/>
        <v>#VALUE!</v>
      </c>
      <c r="P188" s="10" t="e">
        <f t="shared" si="75"/>
        <v>#VALUE!</v>
      </c>
      <c r="Q188" s="23" t="e">
        <f>IF(AND(P188&gt;0,Inputs!$C$6&gt;0),P188/Inputs!$C$6*Inputs!$C$7,"")</f>
        <v>#VALUE!</v>
      </c>
      <c r="R188" s="23" t="str">
        <f>IF(C188="BC",'Rate Model'!$C$19,IF(C188="DBM",'Rate Model'!$E$19,""))</f>
        <v/>
      </c>
      <c r="S188" s="11" t="e">
        <f t="shared" si="76"/>
        <v>#VALUE!</v>
      </c>
      <c r="T188" s="11" t="str">
        <f>IF(A188&lt;&gt;"",Inputs!$C$47,"")</f>
        <v/>
      </c>
      <c r="U188" s="11" t="str">
        <f>IF(A188&lt;&gt;"",Inputs!$C$48,"")</f>
        <v/>
      </c>
      <c r="V188" s="11">
        <v>2</v>
      </c>
      <c r="W188" s="11" t="str">
        <f>IF(A188&lt;&gt;"",Inputs!$C$49,"")</f>
        <v/>
      </c>
      <c r="X188" s="23">
        <v>0</v>
      </c>
      <c r="Y188" s="23" t="e">
        <f t="shared" si="77"/>
        <v>#VALUE!</v>
      </c>
      <c r="Z188" s="23" t="e">
        <f t="shared" si="78"/>
        <v>#VALUE!</v>
      </c>
      <c r="AA188" s="5" t="str">
        <f>IF(A188&lt;&gt;"",Inputs!$C$57,"")</f>
        <v/>
      </c>
      <c r="AB188" s="6" t="e">
        <f t="shared" si="79"/>
        <v>#VALUE!</v>
      </c>
      <c r="AC188" s="6"/>
      <c r="AD188" s="23"/>
      <c r="AE188" s="23">
        <f>IF(AND(J188&gt;0,AC188&gt;0),J188*AC188*Inputs!$C$71,0)</f>
        <v>0</v>
      </c>
      <c r="AF188" s="23">
        <f>IF(AND(J188&gt;0,AD188&gt;0),J188*AD188*Inputs!$C$72,0)</f>
        <v>0</v>
      </c>
      <c r="AG188" s="23" t="e">
        <f t="shared" si="80"/>
        <v>#VALUE!</v>
      </c>
      <c r="AH188" s="23" t="e">
        <f t="shared" si="81"/>
        <v>#VALUE!</v>
      </c>
      <c r="AI188" s="23" t="e">
        <f t="shared" si="82"/>
        <v>#VALUE!</v>
      </c>
      <c r="AJ188" s="23" t="e">
        <f t="shared" si="83"/>
        <v>#VALUE!</v>
      </c>
    </row>
    <row r="189" spans="1:36" x14ac:dyDescent="0.2">
      <c r="A189" s="6"/>
      <c r="B189" s="6"/>
      <c r="C189" s="6"/>
      <c r="D189" s="6"/>
      <c r="E189" s="11"/>
      <c r="F189" s="11"/>
      <c r="G189" s="11"/>
      <c r="H189" s="11"/>
      <c r="I189" s="10" t="str">
        <f t="shared" si="70"/>
        <v/>
      </c>
      <c r="J189" s="10" t="str">
        <f t="shared" si="71"/>
        <v/>
      </c>
      <c r="K189" s="14" t="str">
        <f t="shared" si="72"/>
        <v/>
      </c>
      <c r="L189" s="10" t="str">
        <f>IF(C189="BC",'Mix Design'!$B$9,IF(C189="DBM",'Mix Design'!$C$9,""))</f>
        <v/>
      </c>
      <c r="M189" s="10" t="str">
        <f>IF(C189="BC",Inputs!$C$17,IF(C189="DBM",Inputs!$C$18,""))</f>
        <v/>
      </c>
      <c r="N189" s="10" t="e">
        <f t="shared" si="73"/>
        <v>#VALUE!</v>
      </c>
      <c r="O189" s="10" t="e">
        <f t="shared" si="74"/>
        <v>#VALUE!</v>
      </c>
      <c r="P189" s="10" t="e">
        <f t="shared" si="75"/>
        <v>#VALUE!</v>
      </c>
      <c r="Q189" s="23" t="e">
        <f>IF(AND(P189&gt;0,Inputs!$C$6&gt;0),P189/Inputs!$C$6*Inputs!$C$7,"")</f>
        <v>#VALUE!</v>
      </c>
      <c r="R189" s="23" t="str">
        <f>IF(C189="BC",'Rate Model'!$C$19,IF(C189="DBM",'Rate Model'!$E$19,""))</f>
        <v/>
      </c>
      <c r="S189" s="11" t="e">
        <f t="shared" si="76"/>
        <v>#VALUE!</v>
      </c>
      <c r="T189" s="11" t="str">
        <f>IF(A189&lt;&gt;"",Inputs!$C$47,"")</f>
        <v/>
      </c>
      <c r="U189" s="11" t="str">
        <f>IF(A189&lt;&gt;"",Inputs!$C$48,"")</f>
        <v/>
      </c>
      <c r="V189" s="11">
        <v>2</v>
      </c>
      <c r="W189" s="11" t="str">
        <f>IF(A189&lt;&gt;"",Inputs!$C$49,"")</f>
        <v/>
      </c>
      <c r="X189" s="23">
        <v>0</v>
      </c>
      <c r="Y189" s="23" t="e">
        <f t="shared" si="77"/>
        <v>#VALUE!</v>
      </c>
      <c r="Z189" s="23" t="e">
        <f t="shared" si="78"/>
        <v>#VALUE!</v>
      </c>
      <c r="AA189" s="5" t="str">
        <f>IF(A189&lt;&gt;"",Inputs!$C$57,"")</f>
        <v/>
      </c>
      <c r="AB189" s="6" t="e">
        <f t="shared" si="79"/>
        <v>#VALUE!</v>
      </c>
      <c r="AC189" s="6"/>
      <c r="AD189" s="23"/>
      <c r="AE189" s="23">
        <f>IF(AND(J189&gt;0,AC189&gt;0),J189*AC189*Inputs!$C$71,0)</f>
        <v>0</v>
      </c>
      <c r="AF189" s="23">
        <f>IF(AND(J189&gt;0,AD189&gt;0),J189*AD189*Inputs!$C$72,0)</f>
        <v>0</v>
      </c>
      <c r="AG189" s="23" t="e">
        <f t="shared" si="80"/>
        <v>#VALUE!</v>
      </c>
      <c r="AH189" s="23" t="e">
        <f t="shared" si="81"/>
        <v>#VALUE!</v>
      </c>
      <c r="AI189" s="23" t="e">
        <f t="shared" si="82"/>
        <v>#VALUE!</v>
      </c>
      <c r="AJ189" s="23" t="e">
        <f t="shared" si="83"/>
        <v>#VALUE!</v>
      </c>
    </row>
    <row r="190" spans="1:36" x14ac:dyDescent="0.2">
      <c r="A190" s="6"/>
      <c r="B190" s="6"/>
      <c r="C190" s="6"/>
      <c r="D190" s="6"/>
      <c r="E190" s="11"/>
      <c r="F190" s="11"/>
      <c r="G190" s="11"/>
      <c r="H190" s="11"/>
      <c r="I190" s="10" t="str">
        <f t="shared" si="70"/>
        <v/>
      </c>
      <c r="J190" s="10" t="str">
        <f t="shared" si="71"/>
        <v/>
      </c>
      <c r="K190" s="14" t="str">
        <f t="shared" si="72"/>
        <v/>
      </c>
      <c r="L190" s="10" t="str">
        <f>IF(C190="BC",'Mix Design'!$B$9,IF(C190="DBM",'Mix Design'!$C$9,""))</f>
        <v/>
      </c>
      <c r="M190" s="10" t="str">
        <f>IF(C190="BC",Inputs!$C$17,IF(C190="DBM",Inputs!$C$18,""))</f>
        <v/>
      </c>
      <c r="N190" s="10" t="e">
        <f t="shared" si="73"/>
        <v>#VALUE!</v>
      </c>
      <c r="O190" s="10" t="e">
        <f t="shared" si="74"/>
        <v>#VALUE!</v>
      </c>
      <c r="P190" s="10" t="e">
        <f t="shared" si="75"/>
        <v>#VALUE!</v>
      </c>
      <c r="Q190" s="23" t="e">
        <f>IF(AND(P190&gt;0,Inputs!$C$6&gt;0),P190/Inputs!$C$6*Inputs!$C$7,"")</f>
        <v>#VALUE!</v>
      </c>
      <c r="R190" s="23" t="str">
        <f>IF(C190="BC",'Rate Model'!$C$19,IF(C190="DBM",'Rate Model'!$E$19,""))</f>
        <v/>
      </c>
      <c r="S190" s="11" t="e">
        <f t="shared" si="76"/>
        <v>#VALUE!</v>
      </c>
      <c r="T190" s="11" t="str">
        <f>IF(A190&lt;&gt;"",Inputs!$C$47,"")</f>
        <v/>
      </c>
      <c r="U190" s="11" t="str">
        <f>IF(A190&lt;&gt;"",Inputs!$C$48,"")</f>
        <v/>
      </c>
      <c r="V190" s="11">
        <v>2</v>
      </c>
      <c r="W190" s="11" t="str">
        <f>IF(A190&lt;&gt;"",Inputs!$C$49,"")</f>
        <v/>
      </c>
      <c r="X190" s="23">
        <v>0</v>
      </c>
      <c r="Y190" s="23" t="e">
        <f t="shared" si="77"/>
        <v>#VALUE!</v>
      </c>
      <c r="Z190" s="23" t="e">
        <f t="shared" si="78"/>
        <v>#VALUE!</v>
      </c>
      <c r="AA190" s="5" t="str">
        <f>IF(A190&lt;&gt;"",Inputs!$C$57,"")</f>
        <v/>
      </c>
      <c r="AB190" s="6" t="e">
        <f t="shared" si="79"/>
        <v>#VALUE!</v>
      </c>
      <c r="AC190" s="6"/>
      <c r="AD190" s="23"/>
      <c r="AE190" s="23">
        <f>IF(AND(J190&gt;0,AC190&gt;0),J190*AC190*Inputs!$C$71,0)</f>
        <v>0</v>
      </c>
      <c r="AF190" s="23">
        <f>IF(AND(J190&gt;0,AD190&gt;0),J190*AD190*Inputs!$C$72,0)</f>
        <v>0</v>
      </c>
      <c r="AG190" s="23" t="e">
        <f t="shared" si="80"/>
        <v>#VALUE!</v>
      </c>
      <c r="AH190" s="23" t="e">
        <f t="shared" si="81"/>
        <v>#VALUE!</v>
      </c>
      <c r="AI190" s="23" t="e">
        <f t="shared" si="82"/>
        <v>#VALUE!</v>
      </c>
      <c r="AJ190" s="23" t="e">
        <f t="shared" si="83"/>
        <v>#VALUE!</v>
      </c>
    </row>
    <row r="191" spans="1:36" x14ac:dyDescent="0.2">
      <c r="A191" s="6"/>
      <c r="B191" s="6"/>
      <c r="C191" s="6"/>
      <c r="D191" s="6"/>
      <c r="E191" s="11"/>
      <c r="F191" s="11"/>
      <c r="G191" s="11"/>
      <c r="H191" s="11"/>
      <c r="I191" s="10" t="str">
        <f t="shared" si="70"/>
        <v/>
      </c>
      <c r="J191" s="10" t="str">
        <f t="shared" si="71"/>
        <v/>
      </c>
      <c r="K191" s="14" t="str">
        <f t="shared" si="72"/>
        <v/>
      </c>
      <c r="L191" s="10" t="str">
        <f>IF(C191="BC",'Mix Design'!$B$9,IF(C191="DBM",'Mix Design'!$C$9,""))</f>
        <v/>
      </c>
      <c r="M191" s="10" t="str">
        <f>IF(C191="BC",Inputs!$C$17,IF(C191="DBM",Inputs!$C$18,""))</f>
        <v/>
      </c>
      <c r="N191" s="10" t="e">
        <f t="shared" si="73"/>
        <v>#VALUE!</v>
      </c>
      <c r="O191" s="10" t="e">
        <f t="shared" si="74"/>
        <v>#VALUE!</v>
      </c>
      <c r="P191" s="10" t="e">
        <f t="shared" si="75"/>
        <v>#VALUE!</v>
      </c>
      <c r="Q191" s="23" t="e">
        <f>IF(AND(P191&gt;0,Inputs!$C$6&gt;0),P191/Inputs!$C$6*Inputs!$C$7,"")</f>
        <v>#VALUE!</v>
      </c>
      <c r="R191" s="23" t="str">
        <f>IF(C191="BC",'Rate Model'!$C$19,IF(C191="DBM",'Rate Model'!$E$19,""))</f>
        <v/>
      </c>
      <c r="S191" s="11" t="e">
        <f t="shared" si="76"/>
        <v>#VALUE!</v>
      </c>
      <c r="T191" s="11" t="str">
        <f>IF(A191&lt;&gt;"",Inputs!$C$47,"")</f>
        <v/>
      </c>
      <c r="U191" s="11" t="str">
        <f>IF(A191&lt;&gt;"",Inputs!$C$48,"")</f>
        <v/>
      </c>
      <c r="V191" s="11">
        <v>2</v>
      </c>
      <c r="W191" s="11" t="str">
        <f>IF(A191&lt;&gt;"",Inputs!$C$49,"")</f>
        <v/>
      </c>
      <c r="X191" s="23">
        <v>0</v>
      </c>
      <c r="Y191" s="23" t="e">
        <f t="shared" si="77"/>
        <v>#VALUE!</v>
      </c>
      <c r="Z191" s="23" t="e">
        <f t="shared" si="78"/>
        <v>#VALUE!</v>
      </c>
      <c r="AA191" s="5" t="str">
        <f>IF(A191&lt;&gt;"",Inputs!$C$57,"")</f>
        <v/>
      </c>
      <c r="AB191" s="6" t="e">
        <f t="shared" si="79"/>
        <v>#VALUE!</v>
      </c>
      <c r="AC191" s="6"/>
      <c r="AD191" s="23"/>
      <c r="AE191" s="23">
        <f>IF(AND(J191&gt;0,AC191&gt;0),J191*AC191*Inputs!$C$71,0)</f>
        <v>0</v>
      </c>
      <c r="AF191" s="23">
        <f>IF(AND(J191&gt;0,AD191&gt;0),J191*AD191*Inputs!$C$72,0)</f>
        <v>0</v>
      </c>
      <c r="AG191" s="23" t="e">
        <f t="shared" si="80"/>
        <v>#VALUE!</v>
      </c>
      <c r="AH191" s="23" t="e">
        <f t="shared" si="81"/>
        <v>#VALUE!</v>
      </c>
      <c r="AI191" s="23" t="e">
        <f t="shared" si="82"/>
        <v>#VALUE!</v>
      </c>
      <c r="AJ191" s="23" t="e">
        <f t="shared" si="83"/>
        <v>#VALUE!</v>
      </c>
    </row>
    <row r="192" spans="1:36" x14ac:dyDescent="0.2">
      <c r="A192" s="6"/>
      <c r="B192" s="6"/>
      <c r="C192" s="6"/>
      <c r="D192" s="6"/>
      <c r="E192" s="11"/>
      <c r="F192" s="11"/>
      <c r="G192" s="11"/>
      <c r="H192" s="11"/>
      <c r="I192" s="10" t="str">
        <f t="shared" si="70"/>
        <v/>
      </c>
      <c r="J192" s="10" t="str">
        <f t="shared" si="71"/>
        <v/>
      </c>
      <c r="K192" s="14" t="str">
        <f t="shared" si="72"/>
        <v/>
      </c>
      <c r="L192" s="10" t="str">
        <f>IF(C192="BC",'Mix Design'!$B$9,IF(C192="DBM",'Mix Design'!$C$9,""))</f>
        <v/>
      </c>
      <c r="M192" s="10" t="str">
        <f>IF(C192="BC",Inputs!$C$17,IF(C192="DBM",Inputs!$C$18,""))</f>
        <v/>
      </c>
      <c r="N192" s="10" t="e">
        <f t="shared" si="73"/>
        <v>#VALUE!</v>
      </c>
      <c r="O192" s="10" t="e">
        <f t="shared" si="74"/>
        <v>#VALUE!</v>
      </c>
      <c r="P192" s="10" t="e">
        <f t="shared" si="75"/>
        <v>#VALUE!</v>
      </c>
      <c r="Q192" s="23" t="e">
        <f>IF(AND(P192&gt;0,Inputs!$C$6&gt;0),P192/Inputs!$C$6*Inputs!$C$7,"")</f>
        <v>#VALUE!</v>
      </c>
      <c r="R192" s="23" t="str">
        <f>IF(C192="BC",'Rate Model'!$C$19,IF(C192="DBM",'Rate Model'!$E$19,""))</f>
        <v/>
      </c>
      <c r="S192" s="11" t="e">
        <f t="shared" si="76"/>
        <v>#VALUE!</v>
      </c>
      <c r="T192" s="11" t="str">
        <f>IF(A192&lt;&gt;"",Inputs!$C$47,"")</f>
        <v/>
      </c>
      <c r="U192" s="11" t="str">
        <f>IF(A192&lt;&gt;"",Inputs!$C$48,"")</f>
        <v/>
      </c>
      <c r="V192" s="11">
        <v>2</v>
      </c>
      <c r="W192" s="11" t="str">
        <f>IF(A192&lt;&gt;"",Inputs!$C$49,"")</f>
        <v/>
      </c>
      <c r="X192" s="23">
        <v>0</v>
      </c>
      <c r="Y192" s="23" t="e">
        <f t="shared" si="77"/>
        <v>#VALUE!</v>
      </c>
      <c r="Z192" s="23" t="e">
        <f t="shared" si="78"/>
        <v>#VALUE!</v>
      </c>
      <c r="AA192" s="5" t="str">
        <f>IF(A192&lt;&gt;"",Inputs!$C$57,"")</f>
        <v/>
      </c>
      <c r="AB192" s="6" t="e">
        <f t="shared" si="79"/>
        <v>#VALUE!</v>
      </c>
      <c r="AC192" s="6"/>
      <c r="AD192" s="23"/>
      <c r="AE192" s="23">
        <f>IF(AND(J192&gt;0,AC192&gt;0),J192*AC192*Inputs!$C$71,0)</f>
        <v>0</v>
      </c>
      <c r="AF192" s="23">
        <f>IF(AND(J192&gt;0,AD192&gt;0),J192*AD192*Inputs!$C$72,0)</f>
        <v>0</v>
      </c>
      <c r="AG192" s="23" t="e">
        <f t="shared" si="80"/>
        <v>#VALUE!</v>
      </c>
      <c r="AH192" s="23" t="e">
        <f t="shared" si="81"/>
        <v>#VALUE!</v>
      </c>
      <c r="AI192" s="23" t="e">
        <f t="shared" si="82"/>
        <v>#VALUE!</v>
      </c>
      <c r="AJ192" s="23" t="e">
        <f t="shared" si="83"/>
        <v>#VALUE!</v>
      </c>
    </row>
    <row r="193" spans="1:36" x14ac:dyDescent="0.2">
      <c r="A193" s="6"/>
      <c r="B193" s="6"/>
      <c r="C193" s="6"/>
      <c r="D193" s="6"/>
      <c r="E193" s="11"/>
      <c r="F193" s="11"/>
      <c r="G193" s="11"/>
      <c r="H193" s="11"/>
      <c r="I193" s="10" t="str">
        <f t="shared" si="70"/>
        <v/>
      </c>
      <c r="J193" s="10" t="str">
        <f t="shared" si="71"/>
        <v/>
      </c>
      <c r="K193" s="14" t="str">
        <f t="shared" si="72"/>
        <v/>
      </c>
      <c r="L193" s="10" t="str">
        <f>IF(C193="BC",'Mix Design'!$B$9,IF(C193="DBM",'Mix Design'!$C$9,""))</f>
        <v/>
      </c>
      <c r="M193" s="10" t="str">
        <f>IF(C193="BC",Inputs!$C$17,IF(C193="DBM",Inputs!$C$18,""))</f>
        <v/>
      </c>
      <c r="N193" s="10" t="e">
        <f t="shared" si="73"/>
        <v>#VALUE!</v>
      </c>
      <c r="O193" s="10" t="e">
        <f t="shared" si="74"/>
        <v>#VALUE!</v>
      </c>
      <c r="P193" s="10" t="e">
        <f t="shared" si="75"/>
        <v>#VALUE!</v>
      </c>
      <c r="Q193" s="23" t="e">
        <f>IF(AND(P193&gt;0,Inputs!$C$6&gt;0),P193/Inputs!$C$6*Inputs!$C$7,"")</f>
        <v>#VALUE!</v>
      </c>
      <c r="R193" s="23" t="str">
        <f>IF(C193="BC",'Rate Model'!$C$19,IF(C193="DBM",'Rate Model'!$E$19,""))</f>
        <v/>
      </c>
      <c r="S193" s="11" t="e">
        <f t="shared" si="76"/>
        <v>#VALUE!</v>
      </c>
      <c r="T193" s="11" t="str">
        <f>IF(A193&lt;&gt;"",Inputs!$C$47,"")</f>
        <v/>
      </c>
      <c r="U193" s="11" t="str">
        <f>IF(A193&lt;&gt;"",Inputs!$C$48,"")</f>
        <v/>
      </c>
      <c r="V193" s="11">
        <v>2</v>
      </c>
      <c r="W193" s="11" t="str">
        <f>IF(A193&lt;&gt;"",Inputs!$C$49,"")</f>
        <v/>
      </c>
      <c r="X193" s="23">
        <v>0</v>
      </c>
      <c r="Y193" s="23" t="e">
        <f t="shared" si="77"/>
        <v>#VALUE!</v>
      </c>
      <c r="Z193" s="23" t="e">
        <f t="shared" si="78"/>
        <v>#VALUE!</v>
      </c>
      <c r="AA193" s="5" t="str">
        <f>IF(A193&lt;&gt;"",Inputs!$C$57,"")</f>
        <v/>
      </c>
      <c r="AB193" s="6" t="e">
        <f t="shared" si="79"/>
        <v>#VALUE!</v>
      </c>
      <c r="AC193" s="6"/>
      <c r="AD193" s="23"/>
      <c r="AE193" s="23">
        <f>IF(AND(J193&gt;0,AC193&gt;0),J193*AC193*Inputs!$C$71,0)</f>
        <v>0</v>
      </c>
      <c r="AF193" s="23">
        <f>IF(AND(J193&gt;0,AD193&gt;0),J193*AD193*Inputs!$C$72,0)</f>
        <v>0</v>
      </c>
      <c r="AG193" s="23" t="e">
        <f t="shared" si="80"/>
        <v>#VALUE!</v>
      </c>
      <c r="AH193" s="23" t="e">
        <f t="shared" si="81"/>
        <v>#VALUE!</v>
      </c>
      <c r="AI193" s="23" t="e">
        <f t="shared" si="82"/>
        <v>#VALUE!</v>
      </c>
      <c r="AJ193" s="23" t="e">
        <f t="shared" si="83"/>
        <v>#VALUE!</v>
      </c>
    </row>
    <row r="194" spans="1:36" x14ac:dyDescent="0.2">
      <c r="A194" s="6"/>
      <c r="B194" s="6"/>
      <c r="C194" s="6"/>
      <c r="D194" s="6"/>
      <c r="E194" s="11"/>
      <c r="F194" s="11"/>
      <c r="G194" s="11"/>
      <c r="H194" s="11"/>
      <c r="I194" s="10" t="str">
        <f t="shared" si="70"/>
        <v/>
      </c>
      <c r="J194" s="10" t="str">
        <f t="shared" si="71"/>
        <v/>
      </c>
      <c r="K194" s="14" t="str">
        <f t="shared" si="72"/>
        <v/>
      </c>
      <c r="L194" s="10" t="str">
        <f>IF(C194="BC",'Mix Design'!$B$9,IF(C194="DBM",'Mix Design'!$C$9,""))</f>
        <v/>
      </c>
      <c r="M194" s="10" t="str">
        <f>IF(C194="BC",Inputs!$C$17,IF(C194="DBM",Inputs!$C$18,""))</f>
        <v/>
      </c>
      <c r="N194" s="10" t="e">
        <f t="shared" si="73"/>
        <v>#VALUE!</v>
      </c>
      <c r="O194" s="10" t="e">
        <f t="shared" si="74"/>
        <v>#VALUE!</v>
      </c>
      <c r="P194" s="10" t="e">
        <f t="shared" si="75"/>
        <v>#VALUE!</v>
      </c>
      <c r="Q194" s="23" t="e">
        <f>IF(AND(P194&gt;0,Inputs!$C$6&gt;0),P194/Inputs!$C$6*Inputs!$C$7,"")</f>
        <v>#VALUE!</v>
      </c>
      <c r="R194" s="23" t="str">
        <f>IF(C194="BC",'Rate Model'!$C$19,IF(C194="DBM",'Rate Model'!$E$19,""))</f>
        <v/>
      </c>
      <c r="S194" s="11" t="e">
        <f t="shared" si="76"/>
        <v>#VALUE!</v>
      </c>
      <c r="T194" s="11" t="str">
        <f>IF(A194&lt;&gt;"",Inputs!$C$47,"")</f>
        <v/>
      </c>
      <c r="U194" s="11" t="str">
        <f>IF(A194&lt;&gt;"",Inputs!$C$48,"")</f>
        <v/>
      </c>
      <c r="V194" s="11">
        <v>2</v>
      </c>
      <c r="W194" s="11" t="str">
        <f>IF(A194&lt;&gt;"",Inputs!$C$49,"")</f>
        <v/>
      </c>
      <c r="X194" s="23">
        <v>0</v>
      </c>
      <c r="Y194" s="23" t="e">
        <f t="shared" si="77"/>
        <v>#VALUE!</v>
      </c>
      <c r="Z194" s="23" t="e">
        <f t="shared" si="78"/>
        <v>#VALUE!</v>
      </c>
      <c r="AA194" s="5" t="str">
        <f>IF(A194&lt;&gt;"",Inputs!$C$57,"")</f>
        <v/>
      </c>
      <c r="AB194" s="6" t="e">
        <f t="shared" si="79"/>
        <v>#VALUE!</v>
      </c>
      <c r="AC194" s="6"/>
      <c r="AD194" s="23"/>
      <c r="AE194" s="23">
        <f>IF(AND(J194&gt;0,AC194&gt;0),J194*AC194*Inputs!$C$71,0)</f>
        <v>0</v>
      </c>
      <c r="AF194" s="23">
        <f>IF(AND(J194&gt;0,AD194&gt;0),J194*AD194*Inputs!$C$72,0)</f>
        <v>0</v>
      </c>
      <c r="AG194" s="23" t="e">
        <f t="shared" si="80"/>
        <v>#VALUE!</v>
      </c>
      <c r="AH194" s="23" t="e">
        <f t="shared" si="81"/>
        <v>#VALUE!</v>
      </c>
      <c r="AI194" s="23" t="e">
        <f t="shared" si="82"/>
        <v>#VALUE!</v>
      </c>
      <c r="AJ194" s="23" t="e">
        <f t="shared" si="83"/>
        <v>#VALUE!</v>
      </c>
    </row>
    <row r="195" spans="1:36" x14ac:dyDescent="0.2">
      <c r="A195" s="6"/>
      <c r="B195" s="6"/>
      <c r="C195" s="6"/>
      <c r="D195" s="6"/>
      <c r="E195" s="11"/>
      <c r="F195" s="11"/>
      <c r="G195" s="11"/>
      <c r="H195" s="11"/>
      <c r="I195" s="10" t="str">
        <f t="shared" si="70"/>
        <v/>
      </c>
      <c r="J195" s="10" t="str">
        <f t="shared" si="71"/>
        <v/>
      </c>
      <c r="K195" s="14" t="str">
        <f t="shared" si="72"/>
        <v/>
      </c>
      <c r="L195" s="10" t="str">
        <f>IF(C195="BC",'Mix Design'!$B$9,IF(C195="DBM",'Mix Design'!$C$9,""))</f>
        <v/>
      </c>
      <c r="M195" s="10" t="str">
        <f>IF(C195="BC",Inputs!$C$17,IF(C195="DBM",Inputs!$C$18,""))</f>
        <v/>
      </c>
      <c r="N195" s="10" t="e">
        <f t="shared" si="73"/>
        <v>#VALUE!</v>
      </c>
      <c r="O195" s="10" t="e">
        <f t="shared" si="74"/>
        <v>#VALUE!</v>
      </c>
      <c r="P195" s="10" t="e">
        <f t="shared" si="75"/>
        <v>#VALUE!</v>
      </c>
      <c r="Q195" s="23" t="e">
        <f>IF(AND(P195&gt;0,Inputs!$C$6&gt;0),P195/Inputs!$C$6*Inputs!$C$7,"")</f>
        <v>#VALUE!</v>
      </c>
      <c r="R195" s="23" t="str">
        <f>IF(C195="BC",'Rate Model'!$C$19,IF(C195="DBM",'Rate Model'!$E$19,""))</f>
        <v/>
      </c>
      <c r="S195" s="11" t="e">
        <f t="shared" si="76"/>
        <v>#VALUE!</v>
      </c>
      <c r="T195" s="11" t="str">
        <f>IF(A195&lt;&gt;"",Inputs!$C$47,"")</f>
        <v/>
      </c>
      <c r="U195" s="11" t="str">
        <f>IF(A195&lt;&gt;"",Inputs!$C$48,"")</f>
        <v/>
      </c>
      <c r="V195" s="11">
        <v>2</v>
      </c>
      <c r="W195" s="11" t="str">
        <f>IF(A195&lt;&gt;"",Inputs!$C$49,"")</f>
        <v/>
      </c>
      <c r="X195" s="23">
        <v>0</v>
      </c>
      <c r="Y195" s="23" t="e">
        <f t="shared" si="77"/>
        <v>#VALUE!</v>
      </c>
      <c r="Z195" s="23" t="e">
        <f t="shared" si="78"/>
        <v>#VALUE!</v>
      </c>
      <c r="AA195" s="5" t="str">
        <f>IF(A195&lt;&gt;"",Inputs!$C$57,"")</f>
        <v/>
      </c>
      <c r="AB195" s="6" t="e">
        <f t="shared" si="79"/>
        <v>#VALUE!</v>
      </c>
      <c r="AC195" s="6"/>
      <c r="AD195" s="23"/>
      <c r="AE195" s="23">
        <f>IF(AND(J195&gt;0,AC195&gt;0),J195*AC195*Inputs!$C$71,0)</f>
        <v>0</v>
      </c>
      <c r="AF195" s="23">
        <f>IF(AND(J195&gt;0,AD195&gt;0),J195*AD195*Inputs!$C$72,0)</f>
        <v>0</v>
      </c>
      <c r="AG195" s="23" t="e">
        <f t="shared" si="80"/>
        <v>#VALUE!</v>
      </c>
      <c r="AH195" s="23" t="e">
        <f t="shared" si="81"/>
        <v>#VALUE!</v>
      </c>
      <c r="AI195" s="23" t="e">
        <f t="shared" si="82"/>
        <v>#VALUE!</v>
      </c>
      <c r="AJ195" s="23" t="e">
        <f t="shared" si="83"/>
        <v>#VALUE!</v>
      </c>
    </row>
    <row r="196" spans="1:36" x14ac:dyDescent="0.2">
      <c r="A196" s="6"/>
      <c r="B196" s="6"/>
      <c r="C196" s="6"/>
      <c r="D196" s="6"/>
      <c r="E196" s="11"/>
      <c r="F196" s="11"/>
      <c r="G196" s="11"/>
      <c r="H196" s="11"/>
      <c r="I196" s="10" t="str">
        <f t="shared" ref="I196:I227" si="84">IF(D196="GEOMETRY",IF(AND(E196&gt;0,F196&gt;0,G196&gt;0),E196*F196*(G196/1000),""),IF(AND(H196&gt;0,G196&gt;0),H196,""))</f>
        <v/>
      </c>
      <c r="J196" s="10" t="str">
        <f t="shared" ref="J196:J227" si="85">IF(AND(I196&gt;0,G196&gt;0),I196/(G196/1000),"")</f>
        <v/>
      </c>
      <c r="K196" s="14" t="str">
        <f t="shared" ref="K196:K227" si="86">IF(AND(J196&gt;0,F196&gt;0),J196/F196,"")</f>
        <v/>
      </c>
      <c r="L196" s="10" t="str">
        <f>IF(C196="BC",'Mix Design'!$B$9,IF(C196="DBM",'Mix Design'!$C$9,""))</f>
        <v/>
      </c>
      <c r="M196" s="10" t="str">
        <f>IF(C196="BC",Inputs!$C$17,IF(C196="DBM",Inputs!$C$18,""))</f>
        <v/>
      </c>
      <c r="N196" s="10" t="e">
        <f t="shared" ref="N196:N227" si="87">IF(AND(I196&gt;0,M196&gt;0),I196*M196,"")</f>
        <v>#VALUE!</v>
      </c>
      <c r="O196" s="10" t="e">
        <f t="shared" ref="O196:O227" si="88">IF(AND(N196&gt;0,L196&gt;0),N196*L196,"")</f>
        <v>#VALUE!</v>
      </c>
      <c r="P196" s="10" t="e">
        <f t="shared" ref="P196:P227" si="89">IF(AND(N196&gt;0,O196&gt;0),N196-O196,"")</f>
        <v>#VALUE!</v>
      </c>
      <c r="Q196" s="23" t="e">
        <f>IF(AND(P196&gt;0,Inputs!$C$6&gt;0),P196/Inputs!$C$6*Inputs!$C$7,"")</f>
        <v>#VALUE!</v>
      </c>
      <c r="R196" s="23" t="str">
        <f>IF(C196="BC",'Rate Model'!$C$19,IF(C196="DBM",'Rate Model'!$E$19,""))</f>
        <v/>
      </c>
      <c r="S196" s="11" t="e">
        <f t="shared" ref="S196:S227" si="90">IF(AND(N196&gt;0,R196&gt;0),N196*R196,"")</f>
        <v>#VALUE!</v>
      </c>
      <c r="T196" s="11" t="str">
        <f>IF(A196&lt;&gt;"",Inputs!$C$47,"")</f>
        <v/>
      </c>
      <c r="U196" s="11" t="str">
        <f>IF(A196&lt;&gt;"",Inputs!$C$48,"")</f>
        <v/>
      </c>
      <c r="V196" s="11">
        <v>2</v>
      </c>
      <c r="W196" s="11" t="str">
        <f>IF(A196&lt;&gt;"",Inputs!$C$49,"")</f>
        <v/>
      </c>
      <c r="X196" s="23">
        <v>0</v>
      </c>
      <c r="Y196" s="23" t="e">
        <f t="shared" ref="Y196:Y227" si="91">IF(AND(T196&gt;0,U196&gt;0,V196&gt;0,W196&gt;0),((T196*U196*V196)+X196)/W196,"")</f>
        <v>#VALUE!</v>
      </c>
      <c r="Z196" s="23" t="e">
        <f t="shared" ref="Z196:Z227" si="92">IF(AND(N196&gt;0,Y196&gt;0),N196*Y196,"")</f>
        <v>#VALUE!</v>
      </c>
      <c r="AA196" s="5" t="str">
        <f>IF(A196&lt;&gt;"",Inputs!$C$57,"")</f>
        <v/>
      </c>
      <c r="AB196" s="6" t="e">
        <f t="shared" ref="AB196:AB227" si="93">IF(AND(N196&gt;0,AA196&gt;0),N196*AA196,"")</f>
        <v>#VALUE!</v>
      </c>
      <c r="AC196" s="6"/>
      <c r="AD196" s="23"/>
      <c r="AE196" s="23">
        <f>IF(AND(J196&gt;0,AC196&gt;0),J196*AC196*Inputs!$C$71,0)</f>
        <v>0</v>
      </c>
      <c r="AF196" s="23">
        <f>IF(AND(J196&gt;0,AD196&gt;0),J196*AD196*Inputs!$C$72,0)</f>
        <v>0</v>
      </c>
      <c r="AG196" s="23" t="e">
        <f t="shared" ref="AG196:AG227" si="94">SUM(S196,Z196,AB196,AE196,AF196)</f>
        <v>#VALUE!</v>
      </c>
      <c r="AH196" s="23" t="e">
        <f t="shared" ref="AH196:AH227" si="95">IF(AND(N196&gt;0,AG196&gt;0),AG196/N196,"")</f>
        <v>#VALUE!</v>
      </c>
      <c r="AI196" s="23" t="e">
        <f t="shared" ref="AI196:AI203" si="96">IF(AND(I196&gt;0,AG196&gt;0),AG196/I196,"")</f>
        <v>#VALUE!</v>
      </c>
      <c r="AJ196" s="23" t="e">
        <f t="shared" ref="AJ196:AJ203" si="97">IF(AND(J196&gt;0,AG196&gt;0),AG196/J196,"")</f>
        <v>#VALUE!</v>
      </c>
    </row>
    <row r="197" spans="1:36" x14ac:dyDescent="0.2">
      <c r="A197" s="6"/>
      <c r="B197" s="6"/>
      <c r="C197" s="6"/>
      <c r="D197" s="6"/>
      <c r="E197" s="11"/>
      <c r="F197" s="11"/>
      <c r="G197" s="11"/>
      <c r="H197" s="11"/>
      <c r="I197" s="10" t="str">
        <f t="shared" si="84"/>
        <v/>
      </c>
      <c r="J197" s="10" t="str">
        <f t="shared" si="85"/>
        <v/>
      </c>
      <c r="K197" s="14" t="str">
        <f t="shared" si="86"/>
        <v/>
      </c>
      <c r="L197" s="10" t="str">
        <f>IF(C197="BC",'Mix Design'!$B$9,IF(C197="DBM",'Mix Design'!$C$9,""))</f>
        <v/>
      </c>
      <c r="M197" s="10" t="str">
        <f>IF(C197="BC",Inputs!$C$17,IF(C197="DBM",Inputs!$C$18,""))</f>
        <v/>
      </c>
      <c r="N197" s="10" t="e">
        <f t="shared" si="87"/>
        <v>#VALUE!</v>
      </c>
      <c r="O197" s="10" t="e">
        <f t="shared" si="88"/>
        <v>#VALUE!</v>
      </c>
      <c r="P197" s="10" t="e">
        <f t="shared" si="89"/>
        <v>#VALUE!</v>
      </c>
      <c r="Q197" s="23" t="e">
        <f>IF(AND(P197&gt;0,Inputs!$C$6&gt;0),P197/Inputs!$C$6*Inputs!$C$7,"")</f>
        <v>#VALUE!</v>
      </c>
      <c r="R197" s="23" t="str">
        <f>IF(C197="BC",'Rate Model'!$C$19,IF(C197="DBM",'Rate Model'!$E$19,""))</f>
        <v/>
      </c>
      <c r="S197" s="11" t="e">
        <f t="shared" si="90"/>
        <v>#VALUE!</v>
      </c>
      <c r="T197" s="11" t="str">
        <f>IF(A197&lt;&gt;"",Inputs!$C$47,"")</f>
        <v/>
      </c>
      <c r="U197" s="11" t="str">
        <f>IF(A197&lt;&gt;"",Inputs!$C$48,"")</f>
        <v/>
      </c>
      <c r="V197" s="11">
        <v>2</v>
      </c>
      <c r="W197" s="11" t="str">
        <f>IF(A197&lt;&gt;"",Inputs!$C$49,"")</f>
        <v/>
      </c>
      <c r="X197" s="23">
        <v>0</v>
      </c>
      <c r="Y197" s="23" t="e">
        <f t="shared" si="91"/>
        <v>#VALUE!</v>
      </c>
      <c r="Z197" s="23" t="e">
        <f t="shared" si="92"/>
        <v>#VALUE!</v>
      </c>
      <c r="AA197" s="5" t="str">
        <f>IF(A197&lt;&gt;"",Inputs!$C$57,"")</f>
        <v/>
      </c>
      <c r="AB197" s="6" t="e">
        <f t="shared" si="93"/>
        <v>#VALUE!</v>
      </c>
      <c r="AC197" s="6"/>
      <c r="AD197" s="23"/>
      <c r="AE197" s="23">
        <f>IF(AND(J197&gt;0,AC197&gt;0),J197*AC197*Inputs!$C$71,0)</f>
        <v>0</v>
      </c>
      <c r="AF197" s="23">
        <f>IF(AND(J197&gt;0,AD197&gt;0),J197*AD197*Inputs!$C$72,0)</f>
        <v>0</v>
      </c>
      <c r="AG197" s="23" t="e">
        <f t="shared" si="94"/>
        <v>#VALUE!</v>
      </c>
      <c r="AH197" s="23" t="e">
        <f t="shared" si="95"/>
        <v>#VALUE!</v>
      </c>
      <c r="AI197" s="23" t="e">
        <f t="shared" si="96"/>
        <v>#VALUE!</v>
      </c>
      <c r="AJ197" s="23" t="e">
        <f t="shared" si="97"/>
        <v>#VALUE!</v>
      </c>
    </row>
    <row r="198" spans="1:36" x14ac:dyDescent="0.2">
      <c r="A198" s="6"/>
      <c r="B198" s="6"/>
      <c r="C198" s="6"/>
      <c r="D198" s="6"/>
      <c r="E198" s="11"/>
      <c r="F198" s="11"/>
      <c r="G198" s="11"/>
      <c r="H198" s="11"/>
      <c r="I198" s="10" t="str">
        <f t="shared" si="84"/>
        <v/>
      </c>
      <c r="J198" s="10" t="str">
        <f t="shared" si="85"/>
        <v/>
      </c>
      <c r="K198" s="14" t="str">
        <f t="shared" si="86"/>
        <v/>
      </c>
      <c r="L198" s="10" t="str">
        <f>IF(C198="BC",'Mix Design'!$B$9,IF(C198="DBM",'Mix Design'!$C$9,""))</f>
        <v/>
      </c>
      <c r="M198" s="10" t="str">
        <f>IF(C198="BC",Inputs!$C$17,IF(C198="DBM",Inputs!$C$18,""))</f>
        <v/>
      </c>
      <c r="N198" s="10" t="e">
        <f t="shared" si="87"/>
        <v>#VALUE!</v>
      </c>
      <c r="O198" s="10" t="e">
        <f t="shared" si="88"/>
        <v>#VALUE!</v>
      </c>
      <c r="P198" s="10" t="e">
        <f t="shared" si="89"/>
        <v>#VALUE!</v>
      </c>
      <c r="Q198" s="23" t="e">
        <f>IF(AND(P198&gt;0,Inputs!$C$6&gt;0),P198/Inputs!$C$6*Inputs!$C$7,"")</f>
        <v>#VALUE!</v>
      </c>
      <c r="R198" s="23" t="str">
        <f>IF(C198="BC",'Rate Model'!$C$19,IF(C198="DBM",'Rate Model'!$E$19,""))</f>
        <v/>
      </c>
      <c r="S198" s="11" t="e">
        <f t="shared" si="90"/>
        <v>#VALUE!</v>
      </c>
      <c r="T198" s="11" t="str">
        <f>IF(A198&lt;&gt;"",Inputs!$C$47,"")</f>
        <v/>
      </c>
      <c r="U198" s="11" t="str">
        <f>IF(A198&lt;&gt;"",Inputs!$C$48,"")</f>
        <v/>
      </c>
      <c r="V198" s="11">
        <v>2</v>
      </c>
      <c r="W198" s="11" t="str">
        <f>IF(A198&lt;&gt;"",Inputs!$C$49,"")</f>
        <v/>
      </c>
      <c r="X198" s="23">
        <v>0</v>
      </c>
      <c r="Y198" s="23" t="e">
        <f t="shared" si="91"/>
        <v>#VALUE!</v>
      </c>
      <c r="Z198" s="23" t="e">
        <f t="shared" si="92"/>
        <v>#VALUE!</v>
      </c>
      <c r="AA198" s="5" t="str">
        <f>IF(A198&lt;&gt;"",Inputs!$C$57,"")</f>
        <v/>
      </c>
      <c r="AB198" s="6" t="e">
        <f t="shared" si="93"/>
        <v>#VALUE!</v>
      </c>
      <c r="AC198" s="6"/>
      <c r="AD198" s="23"/>
      <c r="AE198" s="23">
        <f>IF(AND(J198&gt;0,AC198&gt;0),J198*AC198*Inputs!$C$71,0)</f>
        <v>0</v>
      </c>
      <c r="AF198" s="23">
        <f>IF(AND(J198&gt;0,AD198&gt;0),J198*AD198*Inputs!$C$72,0)</f>
        <v>0</v>
      </c>
      <c r="AG198" s="23" t="e">
        <f t="shared" si="94"/>
        <v>#VALUE!</v>
      </c>
      <c r="AH198" s="23" t="e">
        <f t="shared" si="95"/>
        <v>#VALUE!</v>
      </c>
      <c r="AI198" s="23" t="e">
        <f t="shared" si="96"/>
        <v>#VALUE!</v>
      </c>
      <c r="AJ198" s="23" t="e">
        <f t="shared" si="97"/>
        <v>#VALUE!</v>
      </c>
    </row>
    <row r="199" spans="1:36" x14ac:dyDescent="0.2">
      <c r="A199" s="6"/>
      <c r="B199" s="6"/>
      <c r="C199" s="6"/>
      <c r="D199" s="6"/>
      <c r="E199" s="11"/>
      <c r="F199" s="11"/>
      <c r="G199" s="11"/>
      <c r="H199" s="11"/>
      <c r="I199" s="10" t="str">
        <f t="shared" si="84"/>
        <v/>
      </c>
      <c r="J199" s="10" t="str">
        <f t="shared" si="85"/>
        <v/>
      </c>
      <c r="K199" s="14" t="str">
        <f t="shared" si="86"/>
        <v/>
      </c>
      <c r="L199" s="10" t="str">
        <f>IF(C199="BC",'Mix Design'!$B$9,IF(C199="DBM",'Mix Design'!$C$9,""))</f>
        <v/>
      </c>
      <c r="M199" s="10" t="str">
        <f>IF(C199="BC",Inputs!$C$17,IF(C199="DBM",Inputs!$C$18,""))</f>
        <v/>
      </c>
      <c r="N199" s="10" t="e">
        <f t="shared" si="87"/>
        <v>#VALUE!</v>
      </c>
      <c r="O199" s="10" t="e">
        <f t="shared" si="88"/>
        <v>#VALUE!</v>
      </c>
      <c r="P199" s="10" t="e">
        <f t="shared" si="89"/>
        <v>#VALUE!</v>
      </c>
      <c r="Q199" s="23" t="e">
        <f>IF(AND(P199&gt;0,Inputs!$C$6&gt;0),P199/Inputs!$C$6*Inputs!$C$7,"")</f>
        <v>#VALUE!</v>
      </c>
      <c r="R199" s="23" t="str">
        <f>IF(C199="BC",'Rate Model'!$C$19,IF(C199="DBM",'Rate Model'!$E$19,""))</f>
        <v/>
      </c>
      <c r="S199" s="11" t="e">
        <f t="shared" si="90"/>
        <v>#VALUE!</v>
      </c>
      <c r="T199" s="11" t="str">
        <f>IF(A199&lt;&gt;"",Inputs!$C$47,"")</f>
        <v/>
      </c>
      <c r="U199" s="11" t="str">
        <f>IF(A199&lt;&gt;"",Inputs!$C$48,"")</f>
        <v/>
      </c>
      <c r="V199" s="11">
        <v>2</v>
      </c>
      <c r="W199" s="11" t="str">
        <f>IF(A199&lt;&gt;"",Inputs!$C$49,"")</f>
        <v/>
      </c>
      <c r="X199" s="23">
        <v>0</v>
      </c>
      <c r="Y199" s="23" t="e">
        <f t="shared" si="91"/>
        <v>#VALUE!</v>
      </c>
      <c r="Z199" s="23" t="e">
        <f t="shared" si="92"/>
        <v>#VALUE!</v>
      </c>
      <c r="AA199" s="5" t="str">
        <f>IF(A199&lt;&gt;"",Inputs!$C$57,"")</f>
        <v/>
      </c>
      <c r="AB199" s="6" t="e">
        <f t="shared" si="93"/>
        <v>#VALUE!</v>
      </c>
      <c r="AC199" s="6"/>
      <c r="AD199" s="23"/>
      <c r="AE199" s="23">
        <f>IF(AND(J199&gt;0,AC199&gt;0),J199*AC199*Inputs!$C$71,0)</f>
        <v>0</v>
      </c>
      <c r="AF199" s="23">
        <f>IF(AND(J199&gt;0,AD199&gt;0),J199*AD199*Inputs!$C$72,0)</f>
        <v>0</v>
      </c>
      <c r="AG199" s="23" t="e">
        <f t="shared" si="94"/>
        <v>#VALUE!</v>
      </c>
      <c r="AH199" s="23" t="e">
        <f t="shared" si="95"/>
        <v>#VALUE!</v>
      </c>
      <c r="AI199" s="23" t="e">
        <f t="shared" si="96"/>
        <v>#VALUE!</v>
      </c>
      <c r="AJ199" s="23" t="e">
        <f t="shared" si="97"/>
        <v>#VALUE!</v>
      </c>
    </row>
    <row r="200" spans="1:36" x14ac:dyDescent="0.2">
      <c r="A200" s="6"/>
      <c r="B200" s="6"/>
      <c r="C200" s="6"/>
      <c r="D200" s="6"/>
      <c r="E200" s="11"/>
      <c r="F200" s="11"/>
      <c r="G200" s="11"/>
      <c r="H200" s="11"/>
      <c r="I200" s="10" t="str">
        <f t="shared" si="84"/>
        <v/>
      </c>
      <c r="J200" s="10" t="str">
        <f t="shared" si="85"/>
        <v/>
      </c>
      <c r="K200" s="14" t="str">
        <f t="shared" si="86"/>
        <v/>
      </c>
      <c r="L200" s="10" t="str">
        <f>IF(C200="BC",'Mix Design'!$B$9,IF(C200="DBM",'Mix Design'!$C$9,""))</f>
        <v/>
      </c>
      <c r="M200" s="10" t="str">
        <f>IF(C200="BC",Inputs!$C$17,IF(C200="DBM",Inputs!$C$18,""))</f>
        <v/>
      </c>
      <c r="N200" s="10" t="e">
        <f t="shared" si="87"/>
        <v>#VALUE!</v>
      </c>
      <c r="O200" s="10" t="e">
        <f t="shared" si="88"/>
        <v>#VALUE!</v>
      </c>
      <c r="P200" s="10" t="e">
        <f t="shared" si="89"/>
        <v>#VALUE!</v>
      </c>
      <c r="Q200" s="23" t="e">
        <f>IF(AND(P200&gt;0,Inputs!$C$6&gt;0),P200/Inputs!$C$6*Inputs!$C$7,"")</f>
        <v>#VALUE!</v>
      </c>
      <c r="R200" s="23" t="str">
        <f>IF(C200="BC",'Rate Model'!$C$19,IF(C200="DBM",'Rate Model'!$E$19,""))</f>
        <v/>
      </c>
      <c r="S200" s="11" t="e">
        <f t="shared" si="90"/>
        <v>#VALUE!</v>
      </c>
      <c r="T200" s="11" t="str">
        <f>IF(A200&lt;&gt;"",Inputs!$C$47,"")</f>
        <v/>
      </c>
      <c r="U200" s="11" t="str">
        <f>IF(A200&lt;&gt;"",Inputs!$C$48,"")</f>
        <v/>
      </c>
      <c r="V200" s="11">
        <v>2</v>
      </c>
      <c r="W200" s="11" t="str">
        <f>IF(A200&lt;&gt;"",Inputs!$C$49,"")</f>
        <v/>
      </c>
      <c r="X200" s="23">
        <v>0</v>
      </c>
      <c r="Y200" s="23" t="e">
        <f t="shared" si="91"/>
        <v>#VALUE!</v>
      </c>
      <c r="Z200" s="23" t="e">
        <f t="shared" si="92"/>
        <v>#VALUE!</v>
      </c>
      <c r="AA200" s="5" t="str">
        <f>IF(A200&lt;&gt;"",Inputs!$C$57,"")</f>
        <v/>
      </c>
      <c r="AB200" s="6" t="e">
        <f t="shared" si="93"/>
        <v>#VALUE!</v>
      </c>
      <c r="AC200" s="6"/>
      <c r="AD200" s="23"/>
      <c r="AE200" s="23">
        <f>IF(AND(J200&gt;0,AC200&gt;0),J200*AC200*Inputs!$C$71,0)</f>
        <v>0</v>
      </c>
      <c r="AF200" s="23">
        <f>IF(AND(J200&gt;0,AD200&gt;0),J200*AD200*Inputs!$C$72,0)</f>
        <v>0</v>
      </c>
      <c r="AG200" s="23" t="e">
        <f t="shared" si="94"/>
        <v>#VALUE!</v>
      </c>
      <c r="AH200" s="23" t="e">
        <f t="shared" si="95"/>
        <v>#VALUE!</v>
      </c>
      <c r="AI200" s="23" t="e">
        <f t="shared" si="96"/>
        <v>#VALUE!</v>
      </c>
      <c r="AJ200" s="23" t="e">
        <f t="shared" si="97"/>
        <v>#VALUE!</v>
      </c>
    </row>
    <row r="201" spans="1:36" x14ac:dyDescent="0.2">
      <c r="A201" s="6"/>
      <c r="B201" s="6"/>
      <c r="C201" s="6"/>
      <c r="D201" s="6"/>
      <c r="E201" s="11"/>
      <c r="F201" s="11"/>
      <c r="G201" s="11"/>
      <c r="H201" s="11"/>
      <c r="I201" s="10" t="str">
        <f t="shared" si="84"/>
        <v/>
      </c>
      <c r="J201" s="10" t="str">
        <f t="shared" si="85"/>
        <v/>
      </c>
      <c r="K201" s="14" t="str">
        <f t="shared" si="86"/>
        <v/>
      </c>
      <c r="L201" s="10" t="str">
        <f>IF(C201="BC",'Mix Design'!$B$9,IF(C201="DBM",'Mix Design'!$C$9,""))</f>
        <v/>
      </c>
      <c r="M201" s="10" t="str">
        <f>IF(C201="BC",Inputs!$C$17,IF(C201="DBM",Inputs!$C$18,""))</f>
        <v/>
      </c>
      <c r="N201" s="10" t="e">
        <f t="shared" si="87"/>
        <v>#VALUE!</v>
      </c>
      <c r="O201" s="10" t="e">
        <f t="shared" si="88"/>
        <v>#VALUE!</v>
      </c>
      <c r="P201" s="10" t="e">
        <f t="shared" si="89"/>
        <v>#VALUE!</v>
      </c>
      <c r="Q201" s="23" t="e">
        <f>IF(AND(P201&gt;0,Inputs!$C$6&gt;0),P201/Inputs!$C$6*Inputs!$C$7,"")</f>
        <v>#VALUE!</v>
      </c>
      <c r="R201" s="23" t="str">
        <f>IF(C201="BC",'Rate Model'!$C$19,IF(C201="DBM",'Rate Model'!$E$19,""))</f>
        <v/>
      </c>
      <c r="S201" s="11" t="e">
        <f t="shared" si="90"/>
        <v>#VALUE!</v>
      </c>
      <c r="T201" s="11" t="str">
        <f>IF(A201&lt;&gt;"",Inputs!$C$47,"")</f>
        <v/>
      </c>
      <c r="U201" s="11" t="str">
        <f>IF(A201&lt;&gt;"",Inputs!$C$48,"")</f>
        <v/>
      </c>
      <c r="V201" s="11">
        <v>2</v>
      </c>
      <c r="W201" s="11" t="str">
        <f>IF(A201&lt;&gt;"",Inputs!$C$49,"")</f>
        <v/>
      </c>
      <c r="X201" s="23">
        <v>0</v>
      </c>
      <c r="Y201" s="23" t="e">
        <f t="shared" si="91"/>
        <v>#VALUE!</v>
      </c>
      <c r="Z201" s="23" t="e">
        <f t="shared" si="92"/>
        <v>#VALUE!</v>
      </c>
      <c r="AA201" s="5" t="str">
        <f>IF(A201&lt;&gt;"",Inputs!$C$57,"")</f>
        <v/>
      </c>
      <c r="AB201" s="6" t="e">
        <f t="shared" si="93"/>
        <v>#VALUE!</v>
      </c>
      <c r="AC201" s="6"/>
      <c r="AD201" s="23"/>
      <c r="AE201" s="23">
        <f>IF(AND(J201&gt;0,AC201&gt;0),J201*AC201*Inputs!$C$71,0)</f>
        <v>0</v>
      </c>
      <c r="AF201" s="23">
        <f>IF(AND(J201&gt;0,AD201&gt;0),J201*AD201*Inputs!$C$72,0)</f>
        <v>0</v>
      </c>
      <c r="AG201" s="23" t="e">
        <f t="shared" si="94"/>
        <v>#VALUE!</v>
      </c>
      <c r="AH201" s="23" t="e">
        <f t="shared" si="95"/>
        <v>#VALUE!</v>
      </c>
      <c r="AI201" s="23" t="e">
        <f t="shared" si="96"/>
        <v>#VALUE!</v>
      </c>
      <c r="AJ201" s="23" t="e">
        <f t="shared" si="97"/>
        <v>#VALUE!</v>
      </c>
    </row>
    <row r="202" spans="1:36" x14ac:dyDescent="0.2">
      <c r="A202" s="6"/>
      <c r="B202" s="6"/>
      <c r="C202" s="6"/>
      <c r="D202" s="6"/>
      <c r="E202" s="11"/>
      <c r="F202" s="11"/>
      <c r="G202" s="11"/>
      <c r="H202" s="11"/>
      <c r="I202" s="10" t="str">
        <f t="shared" si="84"/>
        <v/>
      </c>
      <c r="J202" s="10" t="str">
        <f t="shared" si="85"/>
        <v/>
      </c>
      <c r="K202" s="14" t="str">
        <f t="shared" si="86"/>
        <v/>
      </c>
      <c r="L202" s="10" t="str">
        <f>IF(C202="BC",'Mix Design'!$B$9,IF(C202="DBM",'Mix Design'!$C$9,""))</f>
        <v/>
      </c>
      <c r="M202" s="10" t="str">
        <f>IF(C202="BC",Inputs!$C$17,IF(C202="DBM",Inputs!$C$18,""))</f>
        <v/>
      </c>
      <c r="N202" s="10" t="e">
        <f t="shared" si="87"/>
        <v>#VALUE!</v>
      </c>
      <c r="O202" s="10" t="e">
        <f t="shared" si="88"/>
        <v>#VALUE!</v>
      </c>
      <c r="P202" s="10" t="e">
        <f t="shared" si="89"/>
        <v>#VALUE!</v>
      </c>
      <c r="Q202" s="23" t="e">
        <f>IF(AND(P202&gt;0,Inputs!$C$6&gt;0),P202/Inputs!$C$6*Inputs!$C$7,"")</f>
        <v>#VALUE!</v>
      </c>
      <c r="R202" s="23" t="str">
        <f>IF(C202="BC",'Rate Model'!$C$19,IF(C202="DBM",'Rate Model'!$E$19,""))</f>
        <v/>
      </c>
      <c r="S202" s="11" t="e">
        <f t="shared" si="90"/>
        <v>#VALUE!</v>
      </c>
      <c r="T202" s="11" t="str">
        <f>IF(A202&lt;&gt;"",Inputs!$C$47,"")</f>
        <v/>
      </c>
      <c r="U202" s="11" t="str">
        <f>IF(A202&lt;&gt;"",Inputs!$C$48,"")</f>
        <v/>
      </c>
      <c r="V202" s="11">
        <v>2</v>
      </c>
      <c r="W202" s="11" t="str">
        <f>IF(A202&lt;&gt;"",Inputs!$C$49,"")</f>
        <v/>
      </c>
      <c r="X202" s="23">
        <v>0</v>
      </c>
      <c r="Y202" s="23" t="e">
        <f t="shared" si="91"/>
        <v>#VALUE!</v>
      </c>
      <c r="Z202" s="23" t="e">
        <f t="shared" si="92"/>
        <v>#VALUE!</v>
      </c>
      <c r="AA202" s="5" t="str">
        <f>IF(A202&lt;&gt;"",Inputs!$C$57,"")</f>
        <v/>
      </c>
      <c r="AB202" s="6" t="e">
        <f t="shared" si="93"/>
        <v>#VALUE!</v>
      </c>
      <c r="AC202" s="6"/>
      <c r="AD202" s="23"/>
      <c r="AE202" s="23">
        <f>IF(AND(J202&gt;0,AC202&gt;0),J202*AC202*Inputs!$C$71,0)</f>
        <v>0</v>
      </c>
      <c r="AF202" s="23">
        <f>IF(AND(J202&gt;0,AD202&gt;0),J202*AD202*Inputs!$C$72,0)</f>
        <v>0</v>
      </c>
      <c r="AG202" s="23" t="e">
        <f t="shared" si="94"/>
        <v>#VALUE!</v>
      </c>
      <c r="AH202" s="23" t="e">
        <f t="shared" si="95"/>
        <v>#VALUE!</v>
      </c>
      <c r="AI202" s="23" t="e">
        <f t="shared" si="96"/>
        <v>#VALUE!</v>
      </c>
      <c r="AJ202" s="23" t="e">
        <f t="shared" si="97"/>
        <v>#VALUE!</v>
      </c>
    </row>
    <row r="203" spans="1:36" x14ac:dyDescent="0.2">
      <c r="A203" s="6"/>
      <c r="B203" s="6"/>
      <c r="C203" s="6"/>
      <c r="D203" s="6"/>
      <c r="E203" s="11"/>
      <c r="F203" s="11"/>
      <c r="G203" s="11"/>
      <c r="H203" s="11"/>
      <c r="I203" s="10" t="str">
        <f t="shared" si="84"/>
        <v/>
      </c>
      <c r="J203" s="10" t="str">
        <f t="shared" si="85"/>
        <v/>
      </c>
      <c r="K203" s="14" t="str">
        <f t="shared" si="86"/>
        <v/>
      </c>
      <c r="L203" s="10" t="str">
        <f>IF(C203="BC",'Mix Design'!$B$9,IF(C203="DBM",'Mix Design'!$C$9,""))</f>
        <v/>
      </c>
      <c r="M203" s="10" t="str">
        <f>IF(C203="BC",Inputs!$C$17,IF(C203="DBM",Inputs!$C$18,""))</f>
        <v/>
      </c>
      <c r="N203" s="10" t="e">
        <f t="shared" si="87"/>
        <v>#VALUE!</v>
      </c>
      <c r="O203" s="10" t="e">
        <f t="shared" si="88"/>
        <v>#VALUE!</v>
      </c>
      <c r="P203" s="10" t="e">
        <f t="shared" si="89"/>
        <v>#VALUE!</v>
      </c>
      <c r="Q203" s="23" t="e">
        <f>IF(AND(P203&gt;0,Inputs!$C$6&gt;0),P203/Inputs!$C$6*Inputs!$C$7,"")</f>
        <v>#VALUE!</v>
      </c>
      <c r="R203" s="23" t="str">
        <f>IF(C203="BC",'Rate Model'!$C$19,IF(C203="DBM",'Rate Model'!$E$19,""))</f>
        <v/>
      </c>
      <c r="S203" s="11" t="e">
        <f t="shared" si="90"/>
        <v>#VALUE!</v>
      </c>
      <c r="T203" s="11" t="str">
        <f>IF(A203&lt;&gt;"",Inputs!$C$47,"")</f>
        <v/>
      </c>
      <c r="U203" s="11" t="str">
        <f>IF(A203&lt;&gt;"",Inputs!$C$48,"")</f>
        <v/>
      </c>
      <c r="V203" s="11">
        <v>2</v>
      </c>
      <c r="W203" s="11" t="str">
        <f>IF(A203&lt;&gt;"",Inputs!$C$49,"")</f>
        <v/>
      </c>
      <c r="X203" s="23">
        <v>0</v>
      </c>
      <c r="Y203" s="23" t="e">
        <f t="shared" si="91"/>
        <v>#VALUE!</v>
      </c>
      <c r="Z203" s="23" t="e">
        <f t="shared" si="92"/>
        <v>#VALUE!</v>
      </c>
      <c r="AA203" s="5" t="str">
        <f>IF(A203&lt;&gt;"",Inputs!$C$57,"")</f>
        <v/>
      </c>
      <c r="AB203" s="6" t="e">
        <f t="shared" si="93"/>
        <v>#VALUE!</v>
      </c>
      <c r="AC203" s="6"/>
      <c r="AD203" s="23"/>
      <c r="AE203" s="23">
        <f>IF(AND(J203&gt;0,AC203&gt;0),J203*AC203*Inputs!$C$71,0)</f>
        <v>0</v>
      </c>
      <c r="AF203" s="23">
        <f>IF(AND(J203&gt;0,AD203&gt;0),J203*AD203*Inputs!$C$72,0)</f>
        <v>0</v>
      </c>
      <c r="AG203" s="23" t="e">
        <f t="shared" si="94"/>
        <v>#VALUE!</v>
      </c>
      <c r="AH203" s="23" t="e">
        <f t="shared" si="95"/>
        <v>#VALUE!</v>
      </c>
      <c r="AI203" s="23" t="e">
        <f t="shared" si="96"/>
        <v>#VALUE!</v>
      </c>
      <c r="AJ203" s="23" t="e">
        <f t="shared" si="97"/>
        <v>#VALUE!</v>
      </c>
    </row>
  </sheetData>
  <dataValidations count="2">
    <dataValidation type="list" sqref="C4:C103" xr:uid="{00000000-0002-0000-0300-000000000000}">
      <formula1>"BC,DBM"</formula1>
      <formula2>0</formula2>
    </dataValidation>
    <dataValidation type="list" sqref="D4:D103" xr:uid="{00000000-0002-0000-0300-000001000000}">
      <formula1>"GEOMETRY,BOQ_CUM"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18"/>
  <sheetViews>
    <sheetView tabSelected="1" zoomScale="125" zoomScaleNormal="125" workbookViewId="0">
      <pane ySplit="3" topLeftCell="A4" activePane="bottomLeft" state="frozen"/>
      <selection pane="bottomLeft" activeCell="D7" sqref="D7"/>
    </sheetView>
  </sheetViews>
  <sheetFormatPr baseColWidth="10" defaultColWidth="8.6640625" defaultRowHeight="15" customHeight="1" x14ac:dyDescent="0.2"/>
  <cols>
    <col min="1" max="1" width="10" customWidth="1"/>
    <col min="2" max="6" width="18" customWidth="1"/>
    <col min="7" max="8" width="14" customWidth="1"/>
    <col min="9" max="12" width="12" customWidth="1"/>
    <col min="13" max="13" width="14" customWidth="1"/>
    <col min="14" max="15" width="10" customWidth="1"/>
    <col min="16" max="16" width="12" customWidth="1"/>
    <col min="17" max="17" width="16" customWidth="1"/>
    <col min="18" max="19" width="14" customWidth="1"/>
    <col min="20" max="20" width="16" customWidth="1"/>
    <col min="21" max="21" width="12" customWidth="1"/>
    <col min="22" max="22" width="13" customWidth="1"/>
    <col min="23" max="23" width="12" customWidth="1"/>
    <col min="24" max="24" width="14" customWidth="1"/>
    <col min="26" max="32" width="16" customWidth="1"/>
  </cols>
  <sheetData>
    <row r="1" spans="1:32" ht="16" x14ac:dyDescent="0.2">
      <c r="A1" s="3" t="s">
        <v>220</v>
      </c>
    </row>
    <row r="2" spans="1:32" x14ac:dyDescent="0.2">
      <c r="A2" t="s">
        <v>221</v>
      </c>
    </row>
    <row r="3" spans="1:32" ht="31" x14ac:dyDescent="0.2">
      <c r="A3" s="4" t="s">
        <v>175</v>
      </c>
      <c r="B3" s="4" t="s">
        <v>176</v>
      </c>
      <c r="C3" s="4" t="s">
        <v>177</v>
      </c>
      <c r="D3" s="4" t="s">
        <v>178</v>
      </c>
      <c r="E3" s="4" t="s">
        <v>222</v>
      </c>
      <c r="F3" s="4" t="s">
        <v>180</v>
      </c>
      <c r="G3" s="4" t="s">
        <v>181</v>
      </c>
      <c r="H3" s="4" t="s">
        <v>183</v>
      </c>
      <c r="I3" s="4" t="s">
        <v>184</v>
      </c>
      <c r="J3" s="4" t="s">
        <v>188</v>
      </c>
      <c r="K3" s="4" t="s">
        <v>223</v>
      </c>
      <c r="L3" s="4" t="s">
        <v>224</v>
      </c>
      <c r="M3" s="4" t="s">
        <v>225</v>
      </c>
      <c r="N3" s="4" t="s">
        <v>226</v>
      </c>
      <c r="O3" s="4" t="s">
        <v>227</v>
      </c>
      <c r="P3" s="4" t="s">
        <v>228</v>
      </c>
      <c r="Q3" s="4" t="s">
        <v>229</v>
      </c>
      <c r="R3" s="4" t="s">
        <v>230</v>
      </c>
      <c r="S3" s="4" t="s">
        <v>193</v>
      </c>
      <c r="T3" s="4" t="s">
        <v>200</v>
      </c>
      <c r="U3" s="4" t="s">
        <v>202</v>
      </c>
      <c r="V3" s="4" t="s">
        <v>205</v>
      </c>
      <c r="W3" s="4" t="s">
        <v>206</v>
      </c>
      <c r="X3" s="4" t="s">
        <v>207</v>
      </c>
      <c r="Z3" s="4" t="s">
        <v>231</v>
      </c>
    </row>
    <row r="4" spans="1:32" ht="16" x14ac:dyDescent="0.2">
      <c r="A4" s="5" t="str">
        <f>'Job Planner'!A4</f>
        <v>J01</v>
      </c>
      <c r="B4" s="14" t="str">
        <f>'Job Planner'!B4</f>
        <v>Murthy</v>
      </c>
      <c r="C4" s="13" t="str">
        <f>'Job Planner'!C4</f>
        <v>DBM</v>
      </c>
      <c r="D4" s="14" t="str">
        <f>'Job Planner'!D4</f>
        <v>BOQ_CUM</v>
      </c>
      <c r="E4" s="13">
        <f>IF('Job Planner'!D4="GEOMETRY",'Job Planner'!E4,'Job Planner'!K4)</f>
        <v>210</v>
      </c>
      <c r="F4" s="16">
        <f>'Job Planner'!F4</f>
        <v>5.5</v>
      </c>
      <c r="G4" s="16">
        <f>'Job Planner'!G4</f>
        <v>50</v>
      </c>
      <c r="H4" s="16">
        <f>'Job Planner'!I4</f>
        <v>57.75</v>
      </c>
      <c r="I4" s="16">
        <f>'Job Planner'!J4</f>
        <v>1155</v>
      </c>
      <c r="J4" s="16">
        <f>'Job Planner'!N4</f>
        <v>132.82499999999999</v>
      </c>
      <c r="K4" s="16">
        <f>IF(C4="BC",J4*'Mix Design'!$B$4,IF(C4="DBM",J4*'Mix Design'!$C$4,""))</f>
        <v>26.564999999999998</v>
      </c>
      <c r="L4" s="16">
        <f>IF(C4="BC",J4*'Mix Design'!$B$5,IF(C4="DBM",J4*'Mix Design'!$C$5,""))</f>
        <v>33.206249999999997</v>
      </c>
      <c r="M4" s="16">
        <f>IF(C4="BC",J4*'Mix Design'!$B$6,IF(C4="DBM",J4*'Mix Design'!$C$6,""))</f>
        <v>13.282499999999999</v>
      </c>
      <c r="N4" s="16">
        <f>IF(C4="BC",J4*'Mix Design'!$B$7,IF(C4="DBM",J4*'Mix Design'!$C$7,""))</f>
        <v>55.388024999999992</v>
      </c>
      <c r="O4" s="16">
        <f>IF(C4="BC",J4*'Mix Design'!$B$8,IF(C4="DBM",J4*'Mix Design'!$C$8,""))</f>
        <v>0</v>
      </c>
      <c r="P4" s="16">
        <f>IF(C4="BC",J4*'Mix Design'!$B$9,IF(C4="DBM",J4*'Mix Design'!$C$9,""))</f>
        <v>4.3832249999999995</v>
      </c>
      <c r="Q4" s="16">
        <f>'Job Planner'!P4</f>
        <v>128.44177499999998</v>
      </c>
      <c r="R4" s="16">
        <f>'Job Planner'!Q4</f>
        <v>3023.9218343949997</v>
      </c>
      <c r="S4" s="16">
        <f>'Job Planner'!S4</f>
        <v>346210.31973611098</v>
      </c>
      <c r="T4" s="16">
        <f>'Job Planner'!Z4</f>
        <v>60725.929687499993</v>
      </c>
      <c r="U4" s="16">
        <f>'Job Planner'!AB4</f>
        <v>92.977499999999992</v>
      </c>
      <c r="V4" s="16">
        <f>'Job Planner'!AE4</f>
        <v>36613.5</v>
      </c>
      <c r="W4" s="16">
        <f>'Job Planner'!AF4</f>
        <v>0</v>
      </c>
      <c r="X4" s="16">
        <f>'Job Planner'!AG4</f>
        <v>443642.72692361096</v>
      </c>
      <c r="Z4" s="4" t="s">
        <v>176</v>
      </c>
      <c r="AA4" s="4" t="s">
        <v>177</v>
      </c>
      <c r="AB4" s="4" t="s">
        <v>232</v>
      </c>
      <c r="AC4" s="4" t="s">
        <v>228</v>
      </c>
      <c r="AD4" s="4" t="s">
        <v>233</v>
      </c>
      <c r="AE4" s="4" t="s">
        <v>230</v>
      </c>
      <c r="AF4" s="4" t="s">
        <v>207</v>
      </c>
    </row>
    <row r="5" spans="1:32" x14ac:dyDescent="0.2">
      <c r="A5" s="5" t="str">
        <f>'Job Planner'!A5</f>
        <v>J02</v>
      </c>
      <c r="B5" s="14" t="str">
        <f>'Job Planner'!B5</f>
        <v>Murthy</v>
      </c>
      <c r="C5" s="13" t="str">
        <f>'Job Planner'!C5</f>
        <v>BC</v>
      </c>
      <c r="D5" s="14" t="str">
        <f>'Job Planner'!D5</f>
        <v>GEOMETRY</v>
      </c>
      <c r="E5" s="13">
        <f>IF('Job Planner'!D5="GEOMETRY",'Job Planner'!E5,'Job Planner'!K5)</f>
        <v>1100</v>
      </c>
      <c r="F5" s="16">
        <f>'Job Planner'!F5</f>
        <v>5.5</v>
      </c>
      <c r="G5" s="16">
        <f>'Job Planner'!G5</f>
        <v>30</v>
      </c>
      <c r="H5" s="16">
        <f>'Job Planner'!I5</f>
        <v>181.5</v>
      </c>
      <c r="I5" s="16">
        <f>'Job Planner'!J5</f>
        <v>6050</v>
      </c>
      <c r="J5" s="16">
        <f>'Job Planner'!N5</f>
        <v>426.52500000000003</v>
      </c>
      <c r="K5" s="16">
        <f>IF(C5="BC",J5*'Mix Design'!$B$4,IF(C5="DBM",J5*'Mix Design'!$C$4,""))</f>
        <v>0</v>
      </c>
      <c r="L5" s="16">
        <f>IF(C5="BC",J5*'Mix Design'!$B$5,IF(C5="DBM",J5*'Mix Design'!$C$5,""))</f>
        <v>74.215350000000001</v>
      </c>
      <c r="M5" s="16">
        <f>IF(C5="BC",J5*'Mix Design'!$B$6,IF(C5="DBM",J5*'Mix Design'!$C$6,""))</f>
        <v>106.63125000000001</v>
      </c>
      <c r="N5" s="16">
        <f>IF(C5="BC",J5*'Mix Design'!$B$7,IF(C5="DBM",J5*'Mix Design'!$C$7,""))</f>
        <v>222.64605000000003</v>
      </c>
      <c r="O5" s="16">
        <f>IF(C5="BC",J5*'Mix Design'!$B$8,IF(C5="DBM",J5*'Mix Design'!$C$8,""))</f>
        <v>0</v>
      </c>
      <c r="P5" s="16">
        <f>IF(C5="BC",J5*'Mix Design'!$B$9,IF(C5="DBM",J5*'Mix Design'!$C$9,""))</f>
        <v>23.032350000000001</v>
      </c>
      <c r="Q5" s="16">
        <f>'Job Planner'!P5</f>
        <v>403.49265000000003</v>
      </c>
      <c r="R5" s="16">
        <f>'Job Planner'!Q5</f>
        <v>9499.481257970001</v>
      </c>
      <c r="S5" s="16">
        <f>'Job Planner'!S5</f>
        <v>1564418.9452876982</v>
      </c>
      <c r="T5" s="16">
        <f>'Job Planner'!Z5</f>
        <v>195001.89843750003</v>
      </c>
      <c r="U5" s="16">
        <f>'Job Planner'!AB5</f>
        <v>298.5675</v>
      </c>
      <c r="V5" s="16">
        <f>'Job Planner'!AE5</f>
        <v>0</v>
      </c>
      <c r="W5" s="16">
        <f>'Job Planner'!AF5</f>
        <v>51086.2</v>
      </c>
      <c r="X5" s="16">
        <f>'Job Planner'!AG5</f>
        <v>1810805.611225198</v>
      </c>
      <c r="AB5" t="str">
        <f t="shared" ref="AB5:AB44" si="0">IF(OR(Z5="",AA5=""),"",SUMIFS($J$4:$J$203,$B$4:$B$203,Z5,$C$4:$C$203,AA5))</f>
        <v/>
      </c>
      <c r="AC5" t="str">
        <f t="shared" ref="AC5:AC44" si="1">IF(OR(Z5="",AA5=""),"",SUMIFS($P$4:$P$203,$B$4:$B$203,Z5,$C$4:$C$203,AA5))</f>
        <v/>
      </c>
      <c r="AD5" t="str">
        <f t="shared" ref="AD5:AD44" si="2">IF(OR(Z5="",AA5=""),"",SUMIFS($Q$4:$Q$203,$B$4:$B$203,Z5,$C$4:$C$203,AA5))</f>
        <v/>
      </c>
      <c r="AE5" t="str">
        <f t="shared" ref="AE5:AE44" si="3">IF(OR(Z5="",AA5=""),"",SUMIFS($R$4:$R$203,$B$4:$B$203,Z5,$C$4:$C$203,AA5))</f>
        <v/>
      </c>
      <c r="AF5" t="str">
        <f t="shared" ref="AF5:AF44" si="4">IF(OR(Z5="",AA5=""),"",SUMIFS($X$4:$X$203,$B$4:$B$203,Z5,$C$4:$C$203,AA5))</f>
        <v/>
      </c>
    </row>
    <row r="6" spans="1:32" x14ac:dyDescent="0.2">
      <c r="A6" s="5" t="str">
        <f>'Job Planner'!A6</f>
        <v>J03</v>
      </c>
      <c r="B6" s="14" t="str">
        <f>'Job Planner'!B6</f>
        <v>Approach Contractor</v>
      </c>
      <c r="C6" s="13" t="str">
        <f>'Job Planner'!C6</f>
        <v>BC</v>
      </c>
      <c r="D6" s="14" t="str">
        <f>'Job Planner'!D6</f>
        <v>BOQ_CUM</v>
      </c>
      <c r="E6" s="13">
        <f>IF('Job Planner'!D6="GEOMETRY",'Job Planner'!E6,'Job Planner'!K6)</f>
        <v>1090.909090909091</v>
      </c>
      <c r="F6" s="16">
        <f>'Job Planner'!F6</f>
        <v>5.5</v>
      </c>
      <c r="G6" s="16">
        <f>'Job Planner'!G6</f>
        <v>30</v>
      </c>
      <c r="H6" s="16">
        <f>'Job Planner'!I6</f>
        <v>180</v>
      </c>
      <c r="I6" s="16">
        <f>'Job Planner'!J6</f>
        <v>6000</v>
      </c>
      <c r="J6" s="16">
        <f>'Job Planner'!N6</f>
        <v>423</v>
      </c>
      <c r="K6" s="16">
        <f>IF(C6="BC",J6*'Mix Design'!$B$4,IF(C6="DBM",J6*'Mix Design'!$C$4,""))</f>
        <v>0</v>
      </c>
      <c r="L6" s="16">
        <f>IF(C6="BC",J6*'Mix Design'!$B$5,IF(C6="DBM",J6*'Mix Design'!$C$5,""))</f>
        <v>73.60199999999999</v>
      </c>
      <c r="M6" s="16">
        <f>IF(C6="BC",J6*'Mix Design'!$B$6,IF(C6="DBM",J6*'Mix Design'!$C$6,""))</f>
        <v>105.75</v>
      </c>
      <c r="N6" s="16">
        <f>IF(C6="BC",J6*'Mix Design'!$B$7,IF(C6="DBM",J6*'Mix Design'!$C$7,""))</f>
        <v>220.80600000000001</v>
      </c>
      <c r="O6" s="16">
        <f>IF(C6="BC",J6*'Mix Design'!$B$8,IF(C6="DBM",J6*'Mix Design'!$C$8,""))</f>
        <v>0</v>
      </c>
      <c r="P6" s="16">
        <f>IF(C6="BC",J6*'Mix Design'!$B$9,IF(C6="DBM",J6*'Mix Design'!$C$9,""))</f>
        <v>22.841999999999999</v>
      </c>
      <c r="Q6" s="16">
        <f>'Job Planner'!P6</f>
        <v>400.15800000000002</v>
      </c>
      <c r="R6" s="16">
        <f>'Job Planner'!Q6</f>
        <v>9420.9731484000004</v>
      </c>
      <c r="S6" s="16">
        <f>'Job Planner'!S6</f>
        <v>1551489.8630952379</v>
      </c>
      <c r="T6" s="16">
        <f>'Job Planner'!Z6</f>
        <v>193390.3125</v>
      </c>
      <c r="U6" s="16">
        <f>'Job Planner'!AB6</f>
        <v>296.09999999999997</v>
      </c>
      <c r="V6" s="16">
        <f>'Job Planner'!AE6</f>
        <v>0</v>
      </c>
      <c r="W6" s="16">
        <f>'Job Planner'!AF6</f>
        <v>50663.999999999993</v>
      </c>
      <c r="X6" s="16">
        <f>'Job Planner'!AG6</f>
        <v>1795840.275595238</v>
      </c>
      <c r="AB6" t="str">
        <f t="shared" si="0"/>
        <v/>
      </c>
      <c r="AC6" t="str">
        <f t="shared" si="1"/>
        <v/>
      </c>
      <c r="AD6" t="str">
        <f t="shared" si="2"/>
        <v/>
      </c>
      <c r="AE6" t="str">
        <f t="shared" si="3"/>
        <v/>
      </c>
      <c r="AF6" t="str">
        <f t="shared" si="4"/>
        <v/>
      </c>
    </row>
    <row r="7" spans="1:32" x14ac:dyDescent="0.2">
      <c r="A7" s="5">
        <f>'Job Planner'!A7</f>
        <v>0</v>
      </c>
      <c r="B7" s="14">
        <f>'Job Planner'!B7</f>
        <v>0</v>
      </c>
      <c r="C7" s="13">
        <f>'Job Planner'!C7</f>
        <v>0</v>
      </c>
      <c r="D7" s="14">
        <f>'Job Planner'!D7</f>
        <v>0</v>
      </c>
      <c r="E7" s="13" t="str">
        <f>IF('Job Planner'!D7="GEOMETRY",'Job Planner'!E7,'Job Planner'!K7)</f>
        <v/>
      </c>
      <c r="F7" s="16">
        <f>'Job Planner'!F7</f>
        <v>0</v>
      </c>
      <c r="G7" s="16">
        <f>'Job Planner'!G7</f>
        <v>0</v>
      </c>
      <c r="H7" s="16" t="str">
        <f>'Job Planner'!I7</f>
        <v/>
      </c>
      <c r="I7" s="16" t="str">
        <f>'Job Planner'!J7</f>
        <v/>
      </c>
      <c r="J7" s="16" t="e">
        <f>'Job Planner'!N7</f>
        <v>#VALUE!</v>
      </c>
      <c r="K7" s="16" t="str">
        <f>IF(C7="BC",J7*'Mix Design'!$B$4,IF(C7="DBM",J7*'Mix Design'!$C$4,""))</f>
        <v/>
      </c>
      <c r="L7" s="16" t="str">
        <f>IF(C7="BC",J7*'Mix Design'!$B$5,IF(C7="DBM",J7*'Mix Design'!$C$5,""))</f>
        <v/>
      </c>
      <c r="M7" s="16" t="str">
        <f>IF(C7="BC",J7*'Mix Design'!$B$6,IF(C7="DBM",J7*'Mix Design'!$C$6,""))</f>
        <v/>
      </c>
      <c r="N7" s="16" t="str">
        <f>IF(C7="BC",J7*'Mix Design'!$B$7,IF(C7="DBM",J7*'Mix Design'!$C$7,""))</f>
        <v/>
      </c>
      <c r="O7" s="16" t="str">
        <f>IF(C7="BC",J7*'Mix Design'!$B$8,IF(C7="DBM",J7*'Mix Design'!$C$8,""))</f>
        <v/>
      </c>
      <c r="P7" s="16" t="str">
        <f>IF(C7="BC",J7*'Mix Design'!$B$9,IF(C7="DBM",J7*'Mix Design'!$C$9,""))</f>
        <v/>
      </c>
      <c r="Q7" s="16" t="e">
        <f>'Job Planner'!P7</f>
        <v>#VALUE!</v>
      </c>
      <c r="R7" s="16" t="e">
        <f>'Job Planner'!Q7</f>
        <v>#VALUE!</v>
      </c>
      <c r="S7" s="16" t="e">
        <f>'Job Planner'!S7</f>
        <v>#VALUE!</v>
      </c>
      <c r="T7" s="16" t="e">
        <f>'Job Planner'!Z7</f>
        <v>#VALUE!</v>
      </c>
      <c r="U7" s="16" t="e">
        <f>'Job Planner'!AB7</f>
        <v>#VALUE!</v>
      </c>
      <c r="V7" s="16">
        <f>'Job Planner'!AE7</f>
        <v>0</v>
      </c>
      <c r="W7" s="16">
        <f>'Job Planner'!AF7</f>
        <v>0</v>
      </c>
      <c r="X7" s="16" t="e">
        <f>'Job Planner'!AG7</f>
        <v>#VALUE!</v>
      </c>
      <c r="AB7" t="str">
        <f t="shared" si="0"/>
        <v/>
      </c>
      <c r="AC7" t="str">
        <f t="shared" si="1"/>
        <v/>
      </c>
      <c r="AD7" t="str">
        <f t="shared" si="2"/>
        <v/>
      </c>
      <c r="AE7" t="str">
        <f t="shared" si="3"/>
        <v/>
      </c>
      <c r="AF7" t="str">
        <f t="shared" si="4"/>
        <v/>
      </c>
    </row>
    <row r="8" spans="1:32" x14ac:dyDescent="0.2">
      <c r="A8" s="5">
        <f>'Job Planner'!A8</f>
        <v>0</v>
      </c>
      <c r="B8" s="14">
        <f>'Job Planner'!B8</f>
        <v>0</v>
      </c>
      <c r="C8" s="13">
        <f>'Job Planner'!C8</f>
        <v>0</v>
      </c>
      <c r="D8" s="14">
        <f>'Job Planner'!D8</f>
        <v>0</v>
      </c>
      <c r="E8" s="13" t="str">
        <f>IF('Job Planner'!D8="GEOMETRY",'Job Planner'!E8,'Job Planner'!K8)</f>
        <v/>
      </c>
      <c r="F8" s="16">
        <f>'Job Planner'!F8</f>
        <v>0</v>
      </c>
      <c r="G8" s="16">
        <f>'Job Planner'!G8</f>
        <v>0</v>
      </c>
      <c r="H8" s="16" t="str">
        <f>'Job Planner'!I8</f>
        <v/>
      </c>
      <c r="I8" s="16" t="str">
        <f>'Job Planner'!J8</f>
        <v/>
      </c>
      <c r="J8" s="16" t="e">
        <f>'Job Planner'!N8</f>
        <v>#VALUE!</v>
      </c>
      <c r="K8" s="16" t="str">
        <f>IF(C8="BC",J8*'Mix Design'!$B$4,IF(C8="DBM",J8*'Mix Design'!$C$4,""))</f>
        <v/>
      </c>
      <c r="L8" s="16" t="str">
        <f>IF(C8="BC",J8*'Mix Design'!$B$5,IF(C8="DBM",J8*'Mix Design'!$C$5,""))</f>
        <v/>
      </c>
      <c r="M8" s="16" t="str">
        <f>IF(C8="BC",J8*'Mix Design'!$B$6,IF(C8="DBM",J8*'Mix Design'!$C$6,""))</f>
        <v/>
      </c>
      <c r="N8" s="16" t="str">
        <f>IF(C8="BC",J8*'Mix Design'!$B$7,IF(C8="DBM",J8*'Mix Design'!$C$7,""))</f>
        <v/>
      </c>
      <c r="O8" s="16" t="str">
        <f>IF(C8="BC",J8*'Mix Design'!$B$8,IF(C8="DBM",J8*'Mix Design'!$C$8,""))</f>
        <v/>
      </c>
      <c r="P8" s="16" t="str">
        <f>IF(C8="BC",J8*'Mix Design'!$B$9,IF(C8="DBM",J8*'Mix Design'!$C$9,""))</f>
        <v/>
      </c>
      <c r="Q8" s="16" t="e">
        <f>'Job Planner'!P8</f>
        <v>#VALUE!</v>
      </c>
      <c r="R8" s="16" t="e">
        <f>'Job Planner'!Q8</f>
        <v>#VALUE!</v>
      </c>
      <c r="S8" s="16" t="e">
        <f>'Job Planner'!S8</f>
        <v>#VALUE!</v>
      </c>
      <c r="T8" s="16" t="e">
        <f>'Job Planner'!Z8</f>
        <v>#VALUE!</v>
      </c>
      <c r="U8" s="16" t="e">
        <f>'Job Planner'!AB8</f>
        <v>#VALUE!</v>
      </c>
      <c r="V8" s="16">
        <f>'Job Planner'!AE8</f>
        <v>0</v>
      </c>
      <c r="W8" s="16">
        <f>'Job Planner'!AF8</f>
        <v>0</v>
      </c>
      <c r="X8" s="16" t="e">
        <f>'Job Planner'!AG8</f>
        <v>#VALUE!</v>
      </c>
      <c r="AB8" t="str">
        <f t="shared" si="0"/>
        <v/>
      </c>
      <c r="AC8" t="str">
        <f t="shared" si="1"/>
        <v/>
      </c>
      <c r="AD8" t="str">
        <f t="shared" si="2"/>
        <v/>
      </c>
      <c r="AE8" t="str">
        <f t="shared" si="3"/>
        <v/>
      </c>
      <c r="AF8" t="str">
        <f t="shared" si="4"/>
        <v/>
      </c>
    </row>
    <row r="9" spans="1:32" x14ac:dyDescent="0.2">
      <c r="A9" s="5">
        <f>'Job Planner'!A9</f>
        <v>0</v>
      </c>
      <c r="B9" s="14">
        <f>'Job Planner'!B9</f>
        <v>0</v>
      </c>
      <c r="C9" s="13">
        <f>'Job Planner'!C9</f>
        <v>0</v>
      </c>
      <c r="D9" s="14">
        <f>'Job Planner'!D9</f>
        <v>0</v>
      </c>
      <c r="E9" s="13" t="str">
        <f>IF('Job Planner'!D9="GEOMETRY",'Job Planner'!E9,'Job Planner'!K9)</f>
        <v/>
      </c>
      <c r="F9" s="16">
        <f>'Job Planner'!F9</f>
        <v>0</v>
      </c>
      <c r="G9" s="16">
        <f>'Job Planner'!G9</f>
        <v>0</v>
      </c>
      <c r="H9" s="16" t="str">
        <f>'Job Planner'!I9</f>
        <v/>
      </c>
      <c r="I9" s="16" t="str">
        <f>'Job Planner'!J9</f>
        <v/>
      </c>
      <c r="J9" s="16" t="e">
        <f>'Job Planner'!N9</f>
        <v>#VALUE!</v>
      </c>
      <c r="K9" s="16" t="str">
        <f>IF(C9="BC",J9*'Mix Design'!$B$4,IF(C9="DBM",J9*'Mix Design'!$C$4,""))</f>
        <v/>
      </c>
      <c r="L9" s="16" t="str">
        <f>IF(C9="BC",J9*'Mix Design'!$B$5,IF(C9="DBM",J9*'Mix Design'!$C$5,""))</f>
        <v/>
      </c>
      <c r="M9" s="16" t="str">
        <f>IF(C9="BC",J9*'Mix Design'!$B$6,IF(C9="DBM",J9*'Mix Design'!$C$6,""))</f>
        <v/>
      </c>
      <c r="N9" s="16" t="str">
        <f>IF(C9="BC",J9*'Mix Design'!$B$7,IF(C9="DBM",J9*'Mix Design'!$C$7,""))</f>
        <v/>
      </c>
      <c r="O9" s="16" t="str">
        <f>IF(C9="BC",J9*'Mix Design'!$B$8,IF(C9="DBM",J9*'Mix Design'!$C$8,""))</f>
        <v/>
      </c>
      <c r="P9" s="16" t="str">
        <f>IF(C9="BC",J9*'Mix Design'!$B$9,IF(C9="DBM",J9*'Mix Design'!$C$9,""))</f>
        <v/>
      </c>
      <c r="Q9" s="16" t="e">
        <f>'Job Planner'!P9</f>
        <v>#VALUE!</v>
      </c>
      <c r="R9" s="16" t="e">
        <f>'Job Planner'!Q9</f>
        <v>#VALUE!</v>
      </c>
      <c r="S9" s="16" t="e">
        <f>'Job Planner'!S9</f>
        <v>#VALUE!</v>
      </c>
      <c r="T9" s="16" t="e">
        <f>'Job Planner'!Z9</f>
        <v>#VALUE!</v>
      </c>
      <c r="U9" s="16" t="e">
        <f>'Job Planner'!AB9</f>
        <v>#VALUE!</v>
      </c>
      <c r="V9" s="16">
        <f>'Job Planner'!AE9</f>
        <v>0</v>
      </c>
      <c r="W9" s="16">
        <f>'Job Planner'!AF9</f>
        <v>0</v>
      </c>
      <c r="X9" s="16" t="e">
        <f>'Job Planner'!AG9</f>
        <v>#VALUE!</v>
      </c>
      <c r="AB9" t="str">
        <f t="shared" si="0"/>
        <v/>
      </c>
      <c r="AC9" t="str">
        <f t="shared" si="1"/>
        <v/>
      </c>
      <c r="AD9" t="str">
        <f t="shared" si="2"/>
        <v/>
      </c>
      <c r="AE9" t="str">
        <f t="shared" si="3"/>
        <v/>
      </c>
      <c r="AF9" t="str">
        <f t="shared" si="4"/>
        <v/>
      </c>
    </row>
    <row r="10" spans="1:32" x14ac:dyDescent="0.2">
      <c r="A10" s="5">
        <f>'Job Planner'!A10</f>
        <v>0</v>
      </c>
      <c r="B10" s="14">
        <f>'Job Planner'!B10</f>
        <v>0</v>
      </c>
      <c r="C10" s="13">
        <f>'Job Planner'!C10</f>
        <v>0</v>
      </c>
      <c r="D10" s="14">
        <f>'Job Planner'!D10</f>
        <v>0</v>
      </c>
      <c r="E10" s="13" t="str">
        <f>IF('Job Planner'!D10="GEOMETRY",'Job Planner'!E10,'Job Planner'!K10)</f>
        <v/>
      </c>
      <c r="F10" s="16">
        <f>'Job Planner'!F10</f>
        <v>0</v>
      </c>
      <c r="G10" s="16">
        <f>'Job Planner'!G10</f>
        <v>0</v>
      </c>
      <c r="H10" s="16" t="str">
        <f>'Job Planner'!I10</f>
        <v/>
      </c>
      <c r="I10" s="16" t="str">
        <f>'Job Planner'!J10</f>
        <v/>
      </c>
      <c r="J10" s="16" t="e">
        <f>'Job Planner'!N10</f>
        <v>#VALUE!</v>
      </c>
      <c r="K10" s="16" t="str">
        <f>IF(C10="BC",J10*'Mix Design'!$B$4,IF(C10="DBM",J10*'Mix Design'!$C$4,""))</f>
        <v/>
      </c>
      <c r="L10" s="16" t="str">
        <f>IF(C10="BC",J10*'Mix Design'!$B$5,IF(C10="DBM",J10*'Mix Design'!$C$5,""))</f>
        <v/>
      </c>
      <c r="M10" s="16" t="str">
        <f>IF(C10="BC",J10*'Mix Design'!$B$6,IF(C10="DBM",J10*'Mix Design'!$C$6,""))</f>
        <v/>
      </c>
      <c r="N10" s="16" t="str">
        <f>IF(C10="BC",J10*'Mix Design'!$B$7,IF(C10="DBM",J10*'Mix Design'!$C$7,""))</f>
        <v/>
      </c>
      <c r="O10" s="16" t="str">
        <f>IF(C10="BC",J10*'Mix Design'!$B$8,IF(C10="DBM",J10*'Mix Design'!$C$8,""))</f>
        <v/>
      </c>
      <c r="P10" s="16" t="str">
        <f>IF(C10="BC",J10*'Mix Design'!$B$9,IF(C10="DBM",J10*'Mix Design'!$C$9,""))</f>
        <v/>
      </c>
      <c r="Q10" s="16" t="e">
        <f>'Job Planner'!P10</f>
        <v>#VALUE!</v>
      </c>
      <c r="R10" s="16" t="e">
        <f>'Job Planner'!Q10</f>
        <v>#VALUE!</v>
      </c>
      <c r="S10" s="16" t="e">
        <f>'Job Planner'!S10</f>
        <v>#VALUE!</v>
      </c>
      <c r="T10" s="16" t="e">
        <f>'Job Planner'!Z10</f>
        <v>#VALUE!</v>
      </c>
      <c r="U10" s="16" t="e">
        <f>'Job Planner'!AB10</f>
        <v>#VALUE!</v>
      </c>
      <c r="V10" s="16">
        <f>'Job Planner'!AE10</f>
        <v>0</v>
      </c>
      <c r="W10" s="16">
        <f>'Job Planner'!AF10</f>
        <v>0</v>
      </c>
      <c r="X10" s="16" t="e">
        <f>'Job Planner'!AG10</f>
        <v>#VALUE!</v>
      </c>
      <c r="AB10" t="str">
        <f t="shared" si="0"/>
        <v/>
      </c>
      <c r="AC10" t="str">
        <f t="shared" si="1"/>
        <v/>
      </c>
      <c r="AD10" t="str">
        <f t="shared" si="2"/>
        <v/>
      </c>
      <c r="AE10" t="str">
        <f t="shared" si="3"/>
        <v/>
      </c>
      <c r="AF10" t="str">
        <f t="shared" si="4"/>
        <v/>
      </c>
    </row>
    <row r="11" spans="1:32" x14ac:dyDescent="0.2">
      <c r="A11" s="5">
        <f>'Job Planner'!A11</f>
        <v>0</v>
      </c>
      <c r="B11" s="14">
        <f>'Job Planner'!B11</f>
        <v>0</v>
      </c>
      <c r="C11" s="13">
        <f>'Job Planner'!C11</f>
        <v>0</v>
      </c>
      <c r="D11" s="14">
        <f>'Job Planner'!D11</f>
        <v>0</v>
      </c>
      <c r="E11" s="13" t="str">
        <f>IF('Job Planner'!D11="GEOMETRY",'Job Planner'!E11,'Job Planner'!K11)</f>
        <v/>
      </c>
      <c r="F11" s="16">
        <f>'Job Planner'!F11</f>
        <v>0</v>
      </c>
      <c r="G11" s="16">
        <f>'Job Planner'!G11</f>
        <v>0</v>
      </c>
      <c r="H11" s="16" t="str">
        <f>'Job Planner'!I11</f>
        <v/>
      </c>
      <c r="I11" s="16" t="str">
        <f>'Job Planner'!J11</f>
        <v/>
      </c>
      <c r="J11" s="16" t="e">
        <f>'Job Planner'!N11</f>
        <v>#VALUE!</v>
      </c>
      <c r="K11" s="16" t="str">
        <f>IF(C11="BC",J11*'Mix Design'!$B$4,IF(C11="DBM",J11*'Mix Design'!$C$4,""))</f>
        <v/>
      </c>
      <c r="L11" s="16" t="str">
        <f>IF(C11="BC",J11*'Mix Design'!$B$5,IF(C11="DBM",J11*'Mix Design'!$C$5,""))</f>
        <v/>
      </c>
      <c r="M11" s="16" t="str">
        <f>IF(C11="BC",J11*'Mix Design'!$B$6,IF(C11="DBM",J11*'Mix Design'!$C$6,""))</f>
        <v/>
      </c>
      <c r="N11" s="16" t="str">
        <f>IF(C11="BC",J11*'Mix Design'!$B$7,IF(C11="DBM",J11*'Mix Design'!$C$7,""))</f>
        <v/>
      </c>
      <c r="O11" s="16" t="str">
        <f>IF(C11="BC",J11*'Mix Design'!$B$8,IF(C11="DBM",J11*'Mix Design'!$C$8,""))</f>
        <v/>
      </c>
      <c r="P11" s="16" t="str">
        <f>IF(C11="BC",J11*'Mix Design'!$B$9,IF(C11="DBM",J11*'Mix Design'!$C$9,""))</f>
        <v/>
      </c>
      <c r="Q11" s="16" t="e">
        <f>'Job Planner'!P11</f>
        <v>#VALUE!</v>
      </c>
      <c r="R11" s="16" t="e">
        <f>'Job Planner'!Q11</f>
        <v>#VALUE!</v>
      </c>
      <c r="S11" s="16" t="e">
        <f>'Job Planner'!S11</f>
        <v>#VALUE!</v>
      </c>
      <c r="T11" s="16" t="e">
        <f>'Job Planner'!Z11</f>
        <v>#VALUE!</v>
      </c>
      <c r="U11" s="16" t="e">
        <f>'Job Planner'!AB11</f>
        <v>#VALUE!</v>
      </c>
      <c r="V11" s="16">
        <f>'Job Planner'!AE11</f>
        <v>0</v>
      </c>
      <c r="W11" s="16">
        <f>'Job Planner'!AF11</f>
        <v>0</v>
      </c>
      <c r="X11" s="16" t="e">
        <f>'Job Planner'!AG11</f>
        <v>#VALUE!</v>
      </c>
      <c r="AB11" t="str">
        <f t="shared" si="0"/>
        <v/>
      </c>
      <c r="AC11" t="str">
        <f t="shared" si="1"/>
        <v/>
      </c>
      <c r="AD11" t="str">
        <f t="shared" si="2"/>
        <v/>
      </c>
      <c r="AE11" t="str">
        <f t="shared" si="3"/>
        <v/>
      </c>
      <c r="AF11" t="str">
        <f t="shared" si="4"/>
        <v/>
      </c>
    </row>
    <row r="12" spans="1:32" x14ac:dyDescent="0.2">
      <c r="A12" s="5">
        <f>'Job Planner'!A12</f>
        <v>0</v>
      </c>
      <c r="B12" s="14">
        <f>'Job Planner'!B12</f>
        <v>0</v>
      </c>
      <c r="C12" s="13">
        <f>'Job Planner'!C12</f>
        <v>0</v>
      </c>
      <c r="D12" s="14">
        <f>'Job Planner'!D12</f>
        <v>0</v>
      </c>
      <c r="E12" s="13" t="str">
        <f>IF('Job Planner'!D12="GEOMETRY",'Job Planner'!E12,'Job Planner'!K12)</f>
        <v/>
      </c>
      <c r="F12" s="16">
        <f>'Job Planner'!F12</f>
        <v>0</v>
      </c>
      <c r="G12" s="16">
        <f>'Job Planner'!G12</f>
        <v>0</v>
      </c>
      <c r="H12" s="16" t="str">
        <f>'Job Planner'!I12</f>
        <v/>
      </c>
      <c r="I12" s="16" t="str">
        <f>'Job Planner'!J12</f>
        <v/>
      </c>
      <c r="J12" s="16" t="e">
        <f>'Job Planner'!N12</f>
        <v>#VALUE!</v>
      </c>
      <c r="K12" s="16" t="str">
        <f>IF(C12="BC",J12*'Mix Design'!$B$4,IF(C12="DBM",J12*'Mix Design'!$C$4,""))</f>
        <v/>
      </c>
      <c r="L12" s="16" t="str">
        <f>IF(C12="BC",J12*'Mix Design'!$B$5,IF(C12="DBM",J12*'Mix Design'!$C$5,""))</f>
        <v/>
      </c>
      <c r="M12" s="16" t="str">
        <f>IF(C12="BC",J12*'Mix Design'!$B$6,IF(C12="DBM",J12*'Mix Design'!$C$6,""))</f>
        <v/>
      </c>
      <c r="N12" s="16" t="str">
        <f>IF(C12="BC",J12*'Mix Design'!$B$7,IF(C12="DBM",J12*'Mix Design'!$C$7,""))</f>
        <v/>
      </c>
      <c r="O12" s="16" t="str">
        <f>IF(C12="BC",J12*'Mix Design'!$B$8,IF(C12="DBM",J12*'Mix Design'!$C$8,""))</f>
        <v/>
      </c>
      <c r="P12" s="16" t="str">
        <f>IF(C12="BC",J12*'Mix Design'!$B$9,IF(C12="DBM",J12*'Mix Design'!$C$9,""))</f>
        <v/>
      </c>
      <c r="Q12" s="16" t="e">
        <f>'Job Planner'!P12</f>
        <v>#VALUE!</v>
      </c>
      <c r="R12" s="16" t="e">
        <f>'Job Planner'!Q12</f>
        <v>#VALUE!</v>
      </c>
      <c r="S12" s="16" t="e">
        <f>'Job Planner'!S12</f>
        <v>#VALUE!</v>
      </c>
      <c r="T12" s="16" t="e">
        <f>'Job Planner'!Z12</f>
        <v>#VALUE!</v>
      </c>
      <c r="U12" s="16" t="e">
        <f>'Job Planner'!AB12</f>
        <v>#VALUE!</v>
      </c>
      <c r="V12" s="16">
        <f>'Job Planner'!AE12</f>
        <v>0</v>
      </c>
      <c r="W12" s="16">
        <f>'Job Planner'!AF12</f>
        <v>0</v>
      </c>
      <c r="X12" s="16" t="e">
        <f>'Job Planner'!AG12</f>
        <v>#VALUE!</v>
      </c>
      <c r="AB12" t="str">
        <f t="shared" si="0"/>
        <v/>
      </c>
      <c r="AC12" t="str">
        <f t="shared" si="1"/>
        <v/>
      </c>
      <c r="AD12" t="str">
        <f t="shared" si="2"/>
        <v/>
      </c>
      <c r="AE12" t="str">
        <f t="shared" si="3"/>
        <v/>
      </c>
      <c r="AF12" t="str">
        <f t="shared" si="4"/>
        <v/>
      </c>
    </row>
    <row r="13" spans="1:32" x14ac:dyDescent="0.2">
      <c r="A13" s="5">
        <f>'Job Planner'!A13</f>
        <v>0</v>
      </c>
      <c r="B13" s="14">
        <f>'Job Planner'!B13</f>
        <v>0</v>
      </c>
      <c r="C13" s="13">
        <f>'Job Planner'!C13</f>
        <v>0</v>
      </c>
      <c r="D13" s="14">
        <f>'Job Planner'!D13</f>
        <v>0</v>
      </c>
      <c r="E13" s="13" t="str">
        <f>IF('Job Planner'!D13="GEOMETRY",'Job Planner'!E13,'Job Planner'!K13)</f>
        <v/>
      </c>
      <c r="F13" s="16">
        <f>'Job Planner'!F13</f>
        <v>0</v>
      </c>
      <c r="G13" s="16">
        <f>'Job Planner'!G13</f>
        <v>0</v>
      </c>
      <c r="H13" s="16" t="str">
        <f>'Job Planner'!I13</f>
        <v/>
      </c>
      <c r="I13" s="16" t="str">
        <f>'Job Planner'!J13</f>
        <v/>
      </c>
      <c r="J13" s="16" t="e">
        <f>'Job Planner'!N13</f>
        <v>#VALUE!</v>
      </c>
      <c r="K13" s="16" t="str">
        <f>IF(C13="BC",J13*'Mix Design'!$B$4,IF(C13="DBM",J13*'Mix Design'!$C$4,""))</f>
        <v/>
      </c>
      <c r="L13" s="16" t="str">
        <f>IF(C13="BC",J13*'Mix Design'!$B$5,IF(C13="DBM",J13*'Mix Design'!$C$5,""))</f>
        <v/>
      </c>
      <c r="M13" s="16" t="str">
        <f>IF(C13="BC",J13*'Mix Design'!$B$6,IF(C13="DBM",J13*'Mix Design'!$C$6,""))</f>
        <v/>
      </c>
      <c r="N13" s="16" t="str">
        <f>IF(C13="BC",J13*'Mix Design'!$B$7,IF(C13="DBM",J13*'Mix Design'!$C$7,""))</f>
        <v/>
      </c>
      <c r="O13" s="16" t="str">
        <f>IF(C13="BC",J13*'Mix Design'!$B$8,IF(C13="DBM",J13*'Mix Design'!$C$8,""))</f>
        <v/>
      </c>
      <c r="P13" s="16" t="str">
        <f>IF(C13="BC",J13*'Mix Design'!$B$9,IF(C13="DBM",J13*'Mix Design'!$C$9,""))</f>
        <v/>
      </c>
      <c r="Q13" s="16" t="e">
        <f>'Job Planner'!P13</f>
        <v>#VALUE!</v>
      </c>
      <c r="R13" s="16" t="e">
        <f>'Job Planner'!Q13</f>
        <v>#VALUE!</v>
      </c>
      <c r="S13" s="16" t="e">
        <f>'Job Planner'!S13</f>
        <v>#VALUE!</v>
      </c>
      <c r="T13" s="16" t="e">
        <f>'Job Planner'!Z13</f>
        <v>#VALUE!</v>
      </c>
      <c r="U13" s="16" t="e">
        <f>'Job Planner'!AB13</f>
        <v>#VALUE!</v>
      </c>
      <c r="V13" s="16">
        <f>'Job Planner'!AE13</f>
        <v>0</v>
      </c>
      <c r="W13" s="16">
        <f>'Job Planner'!AF13</f>
        <v>0</v>
      </c>
      <c r="X13" s="16" t="e">
        <f>'Job Planner'!AG13</f>
        <v>#VALUE!</v>
      </c>
      <c r="AB13" t="str">
        <f t="shared" si="0"/>
        <v/>
      </c>
      <c r="AC13" t="str">
        <f t="shared" si="1"/>
        <v/>
      </c>
      <c r="AD13" t="str">
        <f t="shared" si="2"/>
        <v/>
      </c>
      <c r="AE13" t="str">
        <f t="shared" si="3"/>
        <v/>
      </c>
      <c r="AF13" t="str">
        <f t="shared" si="4"/>
        <v/>
      </c>
    </row>
    <row r="14" spans="1:32" x14ac:dyDescent="0.2">
      <c r="A14" s="5">
        <f>'Job Planner'!A14</f>
        <v>0</v>
      </c>
      <c r="B14" s="14">
        <f>'Job Planner'!B14</f>
        <v>0</v>
      </c>
      <c r="C14" s="13">
        <f>'Job Planner'!C14</f>
        <v>0</v>
      </c>
      <c r="D14" s="14">
        <f>'Job Planner'!D14</f>
        <v>0</v>
      </c>
      <c r="E14" s="13" t="str">
        <f>IF('Job Planner'!D14="GEOMETRY",'Job Planner'!E14,'Job Planner'!K14)</f>
        <v/>
      </c>
      <c r="F14" s="16">
        <f>'Job Planner'!F14</f>
        <v>0</v>
      </c>
      <c r="G14" s="16">
        <f>'Job Planner'!G14</f>
        <v>0</v>
      </c>
      <c r="H14" s="16" t="str">
        <f>'Job Planner'!I14</f>
        <v/>
      </c>
      <c r="I14" s="16" t="str">
        <f>'Job Planner'!J14</f>
        <v/>
      </c>
      <c r="J14" s="16" t="e">
        <f>'Job Planner'!N14</f>
        <v>#VALUE!</v>
      </c>
      <c r="K14" s="16" t="str">
        <f>IF(C14="BC",J14*'Mix Design'!$B$4,IF(C14="DBM",J14*'Mix Design'!$C$4,""))</f>
        <v/>
      </c>
      <c r="L14" s="16" t="str">
        <f>IF(C14="BC",J14*'Mix Design'!$B$5,IF(C14="DBM",J14*'Mix Design'!$C$5,""))</f>
        <v/>
      </c>
      <c r="M14" s="16" t="str">
        <f>IF(C14="BC",J14*'Mix Design'!$B$6,IF(C14="DBM",J14*'Mix Design'!$C$6,""))</f>
        <v/>
      </c>
      <c r="N14" s="16" t="str">
        <f>IF(C14="BC",J14*'Mix Design'!$B$7,IF(C14="DBM",J14*'Mix Design'!$C$7,""))</f>
        <v/>
      </c>
      <c r="O14" s="16" t="str">
        <f>IF(C14="BC",J14*'Mix Design'!$B$8,IF(C14="DBM",J14*'Mix Design'!$C$8,""))</f>
        <v/>
      </c>
      <c r="P14" s="16" t="str">
        <f>IF(C14="BC",J14*'Mix Design'!$B$9,IF(C14="DBM",J14*'Mix Design'!$C$9,""))</f>
        <v/>
      </c>
      <c r="Q14" s="16" t="e">
        <f>'Job Planner'!P14</f>
        <v>#VALUE!</v>
      </c>
      <c r="R14" s="16" t="e">
        <f>'Job Planner'!Q14</f>
        <v>#VALUE!</v>
      </c>
      <c r="S14" s="16" t="e">
        <f>'Job Planner'!S14</f>
        <v>#VALUE!</v>
      </c>
      <c r="T14" s="16" t="e">
        <f>'Job Planner'!Z14</f>
        <v>#VALUE!</v>
      </c>
      <c r="U14" s="16" t="e">
        <f>'Job Planner'!AB14</f>
        <v>#VALUE!</v>
      </c>
      <c r="V14" s="16">
        <f>'Job Planner'!AE14</f>
        <v>0</v>
      </c>
      <c r="W14" s="16">
        <f>'Job Planner'!AF14</f>
        <v>0</v>
      </c>
      <c r="X14" s="16" t="e">
        <f>'Job Planner'!AG14</f>
        <v>#VALUE!</v>
      </c>
      <c r="AB14" t="str">
        <f t="shared" si="0"/>
        <v/>
      </c>
      <c r="AC14" t="str">
        <f t="shared" si="1"/>
        <v/>
      </c>
      <c r="AD14" t="str">
        <f t="shared" si="2"/>
        <v/>
      </c>
      <c r="AE14" t="str">
        <f t="shared" si="3"/>
        <v/>
      </c>
      <c r="AF14" t="str">
        <f t="shared" si="4"/>
        <v/>
      </c>
    </row>
    <row r="15" spans="1:32" x14ac:dyDescent="0.2">
      <c r="A15" s="5">
        <f>'Job Planner'!A15</f>
        <v>0</v>
      </c>
      <c r="B15" s="14">
        <f>'Job Planner'!B15</f>
        <v>0</v>
      </c>
      <c r="C15" s="13">
        <f>'Job Planner'!C15</f>
        <v>0</v>
      </c>
      <c r="D15" s="14">
        <f>'Job Planner'!D15</f>
        <v>0</v>
      </c>
      <c r="E15" s="13" t="str">
        <f>IF('Job Planner'!D15="GEOMETRY",'Job Planner'!E15,'Job Planner'!K15)</f>
        <v/>
      </c>
      <c r="F15" s="16">
        <f>'Job Planner'!F15</f>
        <v>0</v>
      </c>
      <c r="G15" s="16">
        <f>'Job Planner'!G15</f>
        <v>0</v>
      </c>
      <c r="H15" s="16" t="str">
        <f>'Job Planner'!I15</f>
        <v/>
      </c>
      <c r="I15" s="16" t="str">
        <f>'Job Planner'!J15</f>
        <v/>
      </c>
      <c r="J15" s="16" t="e">
        <f>'Job Planner'!N15</f>
        <v>#VALUE!</v>
      </c>
      <c r="K15" s="16" t="str">
        <f>IF(C15="BC",J15*'Mix Design'!$B$4,IF(C15="DBM",J15*'Mix Design'!$C$4,""))</f>
        <v/>
      </c>
      <c r="L15" s="16" t="str">
        <f>IF(C15="BC",J15*'Mix Design'!$B$5,IF(C15="DBM",J15*'Mix Design'!$C$5,""))</f>
        <v/>
      </c>
      <c r="M15" s="16" t="str">
        <f>IF(C15="BC",J15*'Mix Design'!$B$6,IF(C15="DBM",J15*'Mix Design'!$C$6,""))</f>
        <v/>
      </c>
      <c r="N15" s="16" t="str">
        <f>IF(C15="BC",J15*'Mix Design'!$B$7,IF(C15="DBM",J15*'Mix Design'!$C$7,""))</f>
        <v/>
      </c>
      <c r="O15" s="16" t="str">
        <f>IF(C15="BC",J15*'Mix Design'!$B$8,IF(C15="DBM",J15*'Mix Design'!$C$8,""))</f>
        <v/>
      </c>
      <c r="P15" s="16" t="str">
        <f>IF(C15="BC",J15*'Mix Design'!$B$9,IF(C15="DBM",J15*'Mix Design'!$C$9,""))</f>
        <v/>
      </c>
      <c r="Q15" s="16" t="e">
        <f>'Job Planner'!P15</f>
        <v>#VALUE!</v>
      </c>
      <c r="R15" s="16" t="e">
        <f>'Job Planner'!Q15</f>
        <v>#VALUE!</v>
      </c>
      <c r="S15" s="16" t="e">
        <f>'Job Planner'!S15</f>
        <v>#VALUE!</v>
      </c>
      <c r="T15" s="16" t="e">
        <f>'Job Planner'!Z15</f>
        <v>#VALUE!</v>
      </c>
      <c r="U15" s="16" t="e">
        <f>'Job Planner'!AB15</f>
        <v>#VALUE!</v>
      </c>
      <c r="V15" s="16">
        <f>'Job Planner'!AE15</f>
        <v>0</v>
      </c>
      <c r="W15" s="16">
        <f>'Job Planner'!AF15</f>
        <v>0</v>
      </c>
      <c r="X15" s="16" t="e">
        <f>'Job Planner'!AG15</f>
        <v>#VALUE!</v>
      </c>
      <c r="AB15" t="str">
        <f t="shared" si="0"/>
        <v/>
      </c>
      <c r="AC15" t="str">
        <f t="shared" si="1"/>
        <v/>
      </c>
      <c r="AD15" t="str">
        <f t="shared" si="2"/>
        <v/>
      </c>
      <c r="AE15" t="str">
        <f t="shared" si="3"/>
        <v/>
      </c>
      <c r="AF15" t="str">
        <f t="shared" si="4"/>
        <v/>
      </c>
    </row>
    <row r="16" spans="1:32" x14ac:dyDescent="0.2">
      <c r="A16" s="5">
        <f>'Job Planner'!A16</f>
        <v>0</v>
      </c>
      <c r="B16" s="14">
        <f>'Job Planner'!B16</f>
        <v>0</v>
      </c>
      <c r="C16" s="13">
        <f>'Job Planner'!C16</f>
        <v>0</v>
      </c>
      <c r="D16" s="14">
        <f>'Job Planner'!D16</f>
        <v>0</v>
      </c>
      <c r="E16" s="13" t="str">
        <f>IF('Job Planner'!D16="GEOMETRY",'Job Planner'!E16,'Job Planner'!K16)</f>
        <v/>
      </c>
      <c r="F16" s="16">
        <f>'Job Planner'!F16</f>
        <v>0</v>
      </c>
      <c r="G16" s="16">
        <f>'Job Planner'!G16</f>
        <v>0</v>
      </c>
      <c r="H16" s="16" t="str">
        <f>'Job Planner'!I16</f>
        <v/>
      </c>
      <c r="I16" s="16" t="str">
        <f>'Job Planner'!J16</f>
        <v/>
      </c>
      <c r="J16" s="16" t="e">
        <f>'Job Planner'!N16</f>
        <v>#VALUE!</v>
      </c>
      <c r="K16" s="16" t="str">
        <f>IF(C16="BC",J16*'Mix Design'!$B$4,IF(C16="DBM",J16*'Mix Design'!$C$4,""))</f>
        <v/>
      </c>
      <c r="L16" s="16" t="str">
        <f>IF(C16="BC",J16*'Mix Design'!$B$5,IF(C16="DBM",J16*'Mix Design'!$C$5,""))</f>
        <v/>
      </c>
      <c r="M16" s="16" t="str">
        <f>IF(C16="BC",J16*'Mix Design'!$B$6,IF(C16="DBM",J16*'Mix Design'!$C$6,""))</f>
        <v/>
      </c>
      <c r="N16" s="16" t="str">
        <f>IF(C16="BC",J16*'Mix Design'!$B$7,IF(C16="DBM",J16*'Mix Design'!$C$7,""))</f>
        <v/>
      </c>
      <c r="O16" s="16" t="str">
        <f>IF(C16="BC",J16*'Mix Design'!$B$8,IF(C16="DBM",J16*'Mix Design'!$C$8,""))</f>
        <v/>
      </c>
      <c r="P16" s="16" t="str">
        <f>IF(C16="BC",J16*'Mix Design'!$B$9,IF(C16="DBM",J16*'Mix Design'!$C$9,""))</f>
        <v/>
      </c>
      <c r="Q16" s="16" t="e">
        <f>'Job Planner'!P16</f>
        <v>#VALUE!</v>
      </c>
      <c r="R16" s="16" t="e">
        <f>'Job Planner'!Q16</f>
        <v>#VALUE!</v>
      </c>
      <c r="S16" s="16" t="e">
        <f>'Job Planner'!S16</f>
        <v>#VALUE!</v>
      </c>
      <c r="T16" s="16" t="e">
        <f>'Job Planner'!Z16</f>
        <v>#VALUE!</v>
      </c>
      <c r="U16" s="16" t="e">
        <f>'Job Planner'!AB16</f>
        <v>#VALUE!</v>
      </c>
      <c r="V16" s="16">
        <f>'Job Planner'!AE16</f>
        <v>0</v>
      </c>
      <c r="W16" s="16">
        <f>'Job Planner'!AF16</f>
        <v>0</v>
      </c>
      <c r="X16" s="16" t="e">
        <f>'Job Planner'!AG16</f>
        <v>#VALUE!</v>
      </c>
      <c r="AB16" t="str">
        <f t="shared" si="0"/>
        <v/>
      </c>
      <c r="AC16" t="str">
        <f t="shared" si="1"/>
        <v/>
      </c>
      <c r="AD16" t="str">
        <f t="shared" si="2"/>
        <v/>
      </c>
      <c r="AE16" t="str">
        <f t="shared" si="3"/>
        <v/>
      </c>
      <c r="AF16" t="str">
        <f t="shared" si="4"/>
        <v/>
      </c>
    </row>
    <row r="17" spans="1:32" x14ac:dyDescent="0.2">
      <c r="A17" s="5">
        <f>'Job Planner'!A17</f>
        <v>0</v>
      </c>
      <c r="B17" s="14">
        <f>'Job Planner'!B17</f>
        <v>0</v>
      </c>
      <c r="C17" s="13">
        <f>'Job Planner'!C17</f>
        <v>0</v>
      </c>
      <c r="D17" s="14">
        <f>'Job Planner'!D17</f>
        <v>0</v>
      </c>
      <c r="E17" s="13" t="str">
        <f>IF('Job Planner'!D17="GEOMETRY",'Job Planner'!E17,'Job Planner'!K17)</f>
        <v/>
      </c>
      <c r="F17" s="16">
        <f>'Job Planner'!F17</f>
        <v>0</v>
      </c>
      <c r="G17" s="16">
        <f>'Job Planner'!G17</f>
        <v>0</v>
      </c>
      <c r="H17" s="16" t="str">
        <f>'Job Planner'!I17</f>
        <v/>
      </c>
      <c r="I17" s="16" t="str">
        <f>'Job Planner'!J17</f>
        <v/>
      </c>
      <c r="J17" s="16" t="e">
        <f>'Job Planner'!N17</f>
        <v>#VALUE!</v>
      </c>
      <c r="K17" s="16" t="str">
        <f>IF(C17="BC",J17*'Mix Design'!$B$4,IF(C17="DBM",J17*'Mix Design'!$C$4,""))</f>
        <v/>
      </c>
      <c r="L17" s="16" t="str">
        <f>IF(C17="BC",J17*'Mix Design'!$B$5,IF(C17="DBM",J17*'Mix Design'!$C$5,""))</f>
        <v/>
      </c>
      <c r="M17" s="16" t="str">
        <f>IF(C17="BC",J17*'Mix Design'!$B$6,IF(C17="DBM",J17*'Mix Design'!$C$6,""))</f>
        <v/>
      </c>
      <c r="N17" s="16" t="str">
        <f>IF(C17="BC",J17*'Mix Design'!$B$7,IF(C17="DBM",J17*'Mix Design'!$C$7,""))</f>
        <v/>
      </c>
      <c r="O17" s="16" t="str">
        <f>IF(C17="BC",J17*'Mix Design'!$B$8,IF(C17="DBM",J17*'Mix Design'!$C$8,""))</f>
        <v/>
      </c>
      <c r="P17" s="16" t="str">
        <f>IF(C17="BC",J17*'Mix Design'!$B$9,IF(C17="DBM",J17*'Mix Design'!$C$9,""))</f>
        <v/>
      </c>
      <c r="Q17" s="16" t="e">
        <f>'Job Planner'!P17</f>
        <v>#VALUE!</v>
      </c>
      <c r="R17" s="16" t="e">
        <f>'Job Planner'!Q17</f>
        <v>#VALUE!</v>
      </c>
      <c r="S17" s="16" t="e">
        <f>'Job Planner'!S17</f>
        <v>#VALUE!</v>
      </c>
      <c r="T17" s="16" t="e">
        <f>'Job Planner'!Z17</f>
        <v>#VALUE!</v>
      </c>
      <c r="U17" s="16" t="e">
        <f>'Job Planner'!AB17</f>
        <v>#VALUE!</v>
      </c>
      <c r="V17" s="16">
        <f>'Job Planner'!AE17</f>
        <v>0</v>
      </c>
      <c r="W17" s="16">
        <f>'Job Planner'!AF17</f>
        <v>0</v>
      </c>
      <c r="X17" s="16" t="e">
        <f>'Job Planner'!AG17</f>
        <v>#VALUE!</v>
      </c>
      <c r="AB17" t="str">
        <f t="shared" si="0"/>
        <v/>
      </c>
      <c r="AC17" t="str">
        <f t="shared" si="1"/>
        <v/>
      </c>
      <c r="AD17" t="str">
        <f t="shared" si="2"/>
        <v/>
      </c>
      <c r="AE17" t="str">
        <f t="shared" si="3"/>
        <v/>
      </c>
      <c r="AF17" t="str">
        <f t="shared" si="4"/>
        <v/>
      </c>
    </row>
    <row r="18" spans="1:32" x14ac:dyDescent="0.2">
      <c r="A18" s="5">
        <f>'Job Planner'!A18</f>
        <v>0</v>
      </c>
      <c r="B18" s="14">
        <f>'Job Planner'!B18</f>
        <v>0</v>
      </c>
      <c r="C18" s="13">
        <f>'Job Planner'!C18</f>
        <v>0</v>
      </c>
      <c r="D18" s="14">
        <f>'Job Planner'!D18</f>
        <v>0</v>
      </c>
      <c r="E18" s="13" t="str">
        <f>IF('Job Planner'!D18="GEOMETRY",'Job Planner'!E18,'Job Planner'!K18)</f>
        <v/>
      </c>
      <c r="F18" s="16">
        <f>'Job Planner'!F18</f>
        <v>0</v>
      </c>
      <c r="G18" s="16">
        <f>'Job Planner'!G18</f>
        <v>0</v>
      </c>
      <c r="H18" s="16" t="str">
        <f>'Job Planner'!I18</f>
        <v/>
      </c>
      <c r="I18" s="16" t="str">
        <f>'Job Planner'!J18</f>
        <v/>
      </c>
      <c r="J18" s="16" t="e">
        <f>'Job Planner'!N18</f>
        <v>#VALUE!</v>
      </c>
      <c r="K18" s="16" t="str">
        <f>IF(C18="BC",J18*'Mix Design'!$B$4,IF(C18="DBM",J18*'Mix Design'!$C$4,""))</f>
        <v/>
      </c>
      <c r="L18" s="16" t="str">
        <f>IF(C18="BC",J18*'Mix Design'!$B$5,IF(C18="DBM",J18*'Mix Design'!$C$5,""))</f>
        <v/>
      </c>
      <c r="M18" s="16" t="str">
        <f>IF(C18="BC",J18*'Mix Design'!$B$6,IF(C18="DBM",J18*'Mix Design'!$C$6,""))</f>
        <v/>
      </c>
      <c r="N18" s="16" t="str">
        <f>IF(C18="BC",J18*'Mix Design'!$B$7,IF(C18="DBM",J18*'Mix Design'!$C$7,""))</f>
        <v/>
      </c>
      <c r="O18" s="16" t="str">
        <f>IF(C18="BC",J18*'Mix Design'!$B$8,IF(C18="DBM",J18*'Mix Design'!$C$8,""))</f>
        <v/>
      </c>
      <c r="P18" s="16" t="str">
        <f>IF(C18="BC",J18*'Mix Design'!$B$9,IF(C18="DBM",J18*'Mix Design'!$C$9,""))</f>
        <v/>
      </c>
      <c r="Q18" s="16" t="e">
        <f>'Job Planner'!P18</f>
        <v>#VALUE!</v>
      </c>
      <c r="R18" s="16" t="e">
        <f>'Job Planner'!Q18</f>
        <v>#VALUE!</v>
      </c>
      <c r="S18" s="16" t="e">
        <f>'Job Planner'!S18</f>
        <v>#VALUE!</v>
      </c>
      <c r="T18" s="16" t="e">
        <f>'Job Planner'!Z18</f>
        <v>#VALUE!</v>
      </c>
      <c r="U18" s="16" t="e">
        <f>'Job Planner'!AB18</f>
        <v>#VALUE!</v>
      </c>
      <c r="V18" s="16">
        <f>'Job Planner'!AE18</f>
        <v>0</v>
      </c>
      <c r="W18" s="16">
        <f>'Job Planner'!AF18</f>
        <v>0</v>
      </c>
      <c r="X18" s="16" t="e">
        <f>'Job Planner'!AG18</f>
        <v>#VALUE!</v>
      </c>
      <c r="AB18" t="str">
        <f t="shared" si="0"/>
        <v/>
      </c>
      <c r="AC18" t="str">
        <f t="shared" si="1"/>
        <v/>
      </c>
      <c r="AD18" t="str">
        <f t="shared" si="2"/>
        <v/>
      </c>
      <c r="AE18" t="str">
        <f t="shared" si="3"/>
        <v/>
      </c>
      <c r="AF18" t="str">
        <f t="shared" si="4"/>
        <v/>
      </c>
    </row>
    <row r="19" spans="1:32" x14ac:dyDescent="0.2">
      <c r="A19" s="5">
        <f>'Job Planner'!A19</f>
        <v>0</v>
      </c>
      <c r="B19" s="14">
        <f>'Job Planner'!B19</f>
        <v>0</v>
      </c>
      <c r="C19" s="13">
        <f>'Job Planner'!C19</f>
        <v>0</v>
      </c>
      <c r="D19" s="14">
        <f>'Job Planner'!D19</f>
        <v>0</v>
      </c>
      <c r="E19" s="13" t="str">
        <f>IF('Job Planner'!D19="GEOMETRY",'Job Planner'!E19,'Job Planner'!K19)</f>
        <v/>
      </c>
      <c r="F19" s="16">
        <f>'Job Planner'!F19</f>
        <v>0</v>
      </c>
      <c r="G19" s="16">
        <f>'Job Planner'!G19</f>
        <v>0</v>
      </c>
      <c r="H19" s="16" t="str">
        <f>'Job Planner'!I19</f>
        <v/>
      </c>
      <c r="I19" s="16" t="str">
        <f>'Job Planner'!J19</f>
        <v/>
      </c>
      <c r="J19" s="16" t="e">
        <f>'Job Planner'!N19</f>
        <v>#VALUE!</v>
      </c>
      <c r="K19" s="16" t="str">
        <f>IF(C19="BC",J19*'Mix Design'!$B$4,IF(C19="DBM",J19*'Mix Design'!$C$4,""))</f>
        <v/>
      </c>
      <c r="L19" s="16" t="str">
        <f>IF(C19="BC",J19*'Mix Design'!$B$5,IF(C19="DBM",J19*'Mix Design'!$C$5,""))</f>
        <v/>
      </c>
      <c r="M19" s="16" t="str">
        <f>IF(C19="BC",J19*'Mix Design'!$B$6,IF(C19="DBM",J19*'Mix Design'!$C$6,""))</f>
        <v/>
      </c>
      <c r="N19" s="16" t="str">
        <f>IF(C19="BC",J19*'Mix Design'!$B$7,IF(C19="DBM",J19*'Mix Design'!$C$7,""))</f>
        <v/>
      </c>
      <c r="O19" s="16" t="str">
        <f>IF(C19="BC",J19*'Mix Design'!$B$8,IF(C19="DBM",J19*'Mix Design'!$C$8,""))</f>
        <v/>
      </c>
      <c r="P19" s="16" t="str">
        <f>IF(C19="BC",J19*'Mix Design'!$B$9,IF(C19="DBM",J19*'Mix Design'!$C$9,""))</f>
        <v/>
      </c>
      <c r="Q19" s="16" t="e">
        <f>'Job Planner'!P19</f>
        <v>#VALUE!</v>
      </c>
      <c r="R19" s="16" t="e">
        <f>'Job Planner'!Q19</f>
        <v>#VALUE!</v>
      </c>
      <c r="S19" s="16" t="e">
        <f>'Job Planner'!S19</f>
        <v>#VALUE!</v>
      </c>
      <c r="T19" s="16" t="e">
        <f>'Job Planner'!Z19</f>
        <v>#VALUE!</v>
      </c>
      <c r="U19" s="16" t="e">
        <f>'Job Planner'!AB19</f>
        <v>#VALUE!</v>
      </c>
      <c r="V19" s="16">
        <f>'Job Planner'!AE19</f>
        <v>0</v>
      </c>
      <c r="W19" s="16">
        <f>'Job Planner'!AF19</f>
        <v>0</v>
      </c>
      <c r="X19" s="16" t="e">
        <f>'Job Planner'!AG19</f>
        <v>#VALUE!</v>
      </c>
      <c r="AB19" t="str">
        <f t="shared" si="0"/>
        <v/>
      </c>
      <c r="AC19" t="str">
        <f t="shared" si="1"/>
        <v/>
      </c>
      <c r="AD19" t="str">
        <f t="shared" si="2"/>
        <v/>
      </c>
      <c r="AE19" t="str">
        <f t="shared" si="3"/>
        <v/>
      </c>
      <c r="AF19" t="str">
        <f t="shared" si="4"/>
        <v/>
      </c>
    </row>
    <row r="20" spans="1:32" x14ac:dyDescent="0.2">
      <c r="A20" s="5">
        <f>'Job Planner'!A20</f>
        <v>0</v>
      </c>
      <c r="B20" s="14">
        <f>'Job Planner'!B20</f>
        <v>0</v>
      </c>
      <c r="C20" s="13">
        <f>'Job Planner'!C20</f>
        <v>0</v>
      </c>
      <c r="D20" s="14">
        <f>'Job Planner'!D20</f>
        <v>0</v>
      </c>
      <c r="E20" s="13" t="str">
        <f>IF('Job Planner'!D20="GEOMETRY",'Job Planner'!E20,'Job Planner'!K20)</f>
        <v/>
      </c>
      <c r="F20" s="16">
        <f>'Job Planner'!F20</f>
        <v>0</v>
      </c>
      <c r="G20" s="16">
        <f>'Job Planner'!G20</f>
        <v>0</v>
      </c>
      <c r="H20" s="16" t="str">
        <f>'Job Planner'!I20</f>
        <v/>
      </c>
      <c r="I20" s="16" t="str">
        <f>'Job Planner'!J20</f>
        <v/>
      </c>
      <c r="J20" s="16" t="e">
        <f>'Job Planner'!N20</f>
        <v>#VALUE!</v>
      </c>
      <c r="K20" s="16" t="str">
        <f>IF(C20="BC",J20*'Mix Design'!$B$4,IF(C20="DBM",J20*'Mix Design'!$C$4,""))</f>
        <v/>
      </c>
      <c r="L20" s="16" t="str">
        <f>IF(C20="BC",J20*'Mix Design'!$B$5,IF(C20="DBM",J20*'Mix Design'!$C$5,""))</f>
        <v/>
      </c>
      <c r="M20" s="16" t="str">
        <f>IF(C20="BC",J20*'Mix Design'!$B$6,IF(C20="DBM",J20*'Mix Design'!$C$6,""))</f>
        <v/>
      </c>
      <c r="N20" s="16" t="str">
        <f>IF(C20="BC",J20*'Mix Design'!$B$7,IF(C20="DBM",J20*'Mix Design'!$C$7,""))</f>
        <v/>
      </c>
      <c r="O20" s="16" t="str">
        <f>IF(C20="BC",J20*'Mix Design'!$B$8,IF(C20="DBM",J20*'Mix Design'!$C$8,""))</f>
        <v/>
      </c>
      <c r="P20" s="16" t="str">
        <f>IF(C20="BC",J20*'Mix Design'!$B$9,IF(C20="DBM",J20*'Mix Design'!$C$9,""))</f>
        <v/>
      </c>
      <c r="Q20" s="16" t="e">
        <f>'Job Planner'!P20</f>
        <v>#VALUE!</v>
      </c>
      <c r="R20" s="16" t="e">
        <f>'Job Planner'!Q20</f>
        <v>#VALUE!</v>
      </c>
      <c r="S20" s="16" t="e">
        <f>'Job Planner'!S20</f>
        <v>#VALUE!</v>
      </c>
      <c r="T20" s="16" t="e">
        <f>'Job Planner'!Z20</f>
        <v>#VALUE!</v>
      </c>
      <c r="U20" s="16" t="e">
        <f>'Job Planner'!AB20</f>
        <v>#VALUE!</v>
      </c>
      <c r="V20" s="16">
        <f>'Job Planner'!AE20</f>
        <v>0</v>
      </c>
      <c r="W20" s="16">
        <f>'Job Planner'!AF20</f>
        <v>0</v>
      </c>
      <c r="X20" s="16" t="e">
        <f>'Job Planner'!AG20</f>
        <v>#VALUE!</v>
      </c>
      <c r="AB20" t="str">
        <f t="shared" si="0"/>
        <v/>
      </c>
      <c r="AC20" t="str">
        <f t="shared" si="1"/>
        <v/>
      </c>
      <c r="AD20" t="str">
        <f t="shared" si="2"/>
        <v/>
      </c>
      <c r="AE20" t="str">
        <f t="shared" si="3"/>
        <v/>
      </c>
      <c r="AF20" t="str">
        <f t="shared" si="4"/>
        <v/>
      </c>
    </row>
    <row r="21" spans="1:32" x14ac:dyDescent="0.2">
      <c r="A21" s="5">
        <f>'Job Planner'!A21</f>
        <v>0</v>
      </c>
      <c r="B21" s="14">
        <f>'Job Planner'!B21</f>
        <v>0</v>
      </c>
      <c r="C21" s="13">
        <f>'Job Planner'!C21</f>
        <v>0</v>
      </c>
      <c r="D21" s="14">
        <f>'Job Planner'!D21</f>
        <v>0</v>
      </c>
      <c r="E21" s="13" t="str">
        <f>IF('Job Planner'!D21="GEOMETRY",'Job Planner'!E21,'Job Planner'!K21)</f>
        <v/>
      </c>
      <c r="F21" s="16">
        <f>'Job Planner'!F21</f>
        <v>0</v>
      </c>
      <c r="G21" s="16">
        <f>'Job Planner'!G21</f>
        <v>0</v>
      </c>
      <c r="H21" s="16" t="str">
        <f>'Job Planner'!I21</f>
        <v/>
      </c>
      <c r="I21" s="16" t="str">
        <f>'Job Planner'!J21</f>
        <v/>
      </c>
      <c r="J21" s="16" t="e">
        <f>'Job Planner'!N21</f>
        <v>#VALUE!</v>
      </c>
      <c r="K21" s="16" t="str">
        <f>IF(C21="BC",J21*'Mix Design'!$B$4,IF(C21="DBM",J21*'Mix Design'!$C$4,""))</f>
        <v/>
      </c>
      <c r="L21" s="16" t="str">
        <f>IF(C21="BC",J21*'Mix Design'!$B$5,IF(C21="DBM",J21*'Mix Design'!$C$5,""))</f>
        <v/>
      </c>
      <c r="M21" s="16" t="str">
        <f>IF(C21="BC",J21*'Mix Design'!$B$6,IF(C21="DBM",J21*'Mix Design'!$C$6,""))</f>
        <v/>
      </c>
      <c r="N21" s="16" t="str">
        <f>IF(C21="BC",J21*'Mix Design'!$B$7,IF(C21="DBM",J21*'Mix Design'!$C$7,""))</f>
        <v/>
      </c>
      <c r="O21" s="16" t="str">
        <f>IF(C21="BC",J21*'Mix Design'!$B$8,IF(C21="DBM",J21*'Mix Design'!$C$8,""))</f>
        <v/>
      </c>
      <c r="P21" s="16" t="str">
        <f>IF(C21="BC",J21*'Mix Design'!$B$9,IF(C21="DBM",J21*'Mix Design'!$C$9,""))</f>
        <v/>
      </c>
      <c r="Q21" s="16" t="e">
        <f>'Job Planner'!P21</f>
        <v>#VALUE!</v>
      </c>
      <c r="R21" s="16" t="e">
        <f>'Job Planner'!Q21</f>
        <v>#VALUE!</v>
      </c>
      <c r="S21" s="16" t="e">
        <f>'Job Planner'!S21</f>
        <v>#VALUE!</v>
      </c>
      <c r="T21" s="16" t="e">
        <f>'Job Planner'!Z21</f>
        <v>#VALUE!</v>
      </c>
      <c r="U21" s="16" t="e">
        <f>'Job Planner'!AB21</f>
        <v>#VALUE!</v>
      </c>
      <c r="V21" s="16">
        <f>'Job Planner'!AE21</f>
        <v>0</v>
      </c>
      <c r="W21" s="16">
        <f>'Job Planner'!AF21</f>
        <v>0</v>
      </c>
      <c r="X21" s="16" t="e">
        <f>'Job Planner'!AG21</f>
        <v>#VALUE!</v>
      </c>
      <c r="AB21" t="str">
        <f t="shared" si="0"/>
        <v/>
      </c>
      <c r="AC21" t="str">
        <f t="shared" si="1"/>
        <v/>
      </c>
      <c r="AD21" t="str">
        <f t="shared" si="2"/>
        <v/>
      </c>
      <c r="AE21" t="str">
        <f t="shared" si="3"/>
        <v/>
      </c>
      <c r="AF21" t="str">
        <f t="shared" si="4"/>
        <v/>
      </c>
    </row>
    <row r="22" spans="1:32" x14ac:dyDescent="0.2">
      <c r="A22" s="5">
        <f>'Job Planner'!A22</f>
        <v>0</v>
      </c>
      <c r="B22" s="14">
        <f>'Job Planner'!B22</f>
        <v>0</v>
      </c>
      <c r="C22" s="13">
        <f>'Job Planner'!C22</f>
        <v>0</v>
      </c>
      <c r="D22" s="14">
        <f>'Job Planner'!D22</f>
        <v>0</v>
      </c>
      <c r="E22" s="13" t="str">
        <f>IF('Job Planner'!D22="GEOMETRY",'Job Planner'!E22,'Job Planner'!K22)</f>
        <v/>
      </c>
      <c r="F22" s="16">
        <f>'Job Planner'!F22</f>
        <v>0</v>
      </c>
      <c r="G22" s="16">
        <f>'Job Planner'!G22</f>
        <v>0</v>
      </c>
      <c r="H22" s="16" t="str">
        <f>'Job Planner'!I22</f>
        <v/>
      </c>
      <c r="I22" s="16" t="str">
        <f>'Job Planner'!J22</f>
        <v/>
      </c>
      <c r="J22" s="16" t="e">
        <f>'Job Planner'!N22</f>
        <v>#VALUE!</v>
      </c>
      <c r="K22" s="16" t="str">
        <f>IF(C22="BC",J22*'Mix Design'!$B$4,IF(C22="DBM",J22*'Mix Design'!$C$4,""))</f>
        <v/>
      </c>
      <c r="L22" s="16" t="str">
        <f>IF(C22="BC",J22*'Mix Design'!$B$5,IF(C22="DBM",J22*'Mix Design'!$C$5,""))</f>
        <v/>
      </c>
      <c r="M22" s="16" t="str">
        <f>IF(C22="BC",J22*'Mix Design'!$B$6,IF(C22="DBM",J22*'Mix Design'!$C$6,""))</f>
        <v/>
      </c>
      <c r="N22" s="16" t="str">
        <f>IF(C22="BC",J22*'Mix Design'!$B$7,IF(C22="DBM",J22*'Mix Design'!$C$7,""))</f>
        <v/>
      </c>
      <c r="O22" s="16" t="str">
        <f>IF(C22="BC",J22*'Mix Design'!$B$8,IF(C22="DBM",J22*'Mix Design'!$C$8,""))</f>
        <v/>
      </c>
      <c r="P22" s="16" t="str">
        <f>IF(C22="BC",J22*'Mix Design'!$B$9,IF(C22="DBM",J22*'Mix Design'!$C$9,""))</f>
        <v/>
      </c>
      <c r="Q22" s="16" t="e">
        <f>'Job Planner'!P22</f>
        <v>#VALUE!</v>
      </c>
      <c r="R22" s="16" t="e">
        <f>'Job Planner'!Q22</f>
        <v>#VALUE!</v>
      </c>
      <c r="S22" s="16" t="e">
        <f>'Job Planner'!S22</f>
        <v>#VALUE!</v>
      </c>
      <c r="T22" s="16" t="e">
        <f>'Job Planner'!Z22</f>
        <v>#VALUE!</v>
      </c>
      <c r="U22" s="16" t="e">
        <f>'Job Planner'!AB22</f>
        <v>#VALUE!</v>
      </c>
      <c r="V22" s="16">
        <f>'Job Planner'!AE22</f>
        <v>0</v>
      </c>
      <c r="W22" s="16">
        <f>'Job Planner'!AF22</f>
        <v>0</v>
      </c>
      <c r="X22" s="16" t="e">
        <f>'Job Planner'!AG22</f>
        <v>#VALUE!</v>
      </c>
      <c r="AB22" t="str">
        <f t="shared" si="0"/>
        <v/>
      </c>
      <c r="AC22" t="str">
        <f t="shared" si="1"/>
        <v/>
      </c>
      <c r="AD22" t="str">
        <f t="shared" si="2"/>
        <v/>
      </c>
      <c r="AE22" t="str">
        <f t="shared" si="3"/>
        <v/>
      </c>
      <c r="AF22" t="str">
        <f t="shared" si="4"/>
        <v/>
      </c>
    </row>
    <row r="23" spans="1:32" x14ac:dyDescent="0.2">
      <c r="A23" s="5">
        <f>'Job Planner'!A23</f>
        <v>0</v>
      </c>
      <c r="B23" s="14">
        <f>'Job Planner'!B23</f>
        <v>0</v>
      </c>
      <c r="C23" s="13">
        <f>'Job Planner'!C23</f>
        <v>0</v>
      </c>
      <c r="D23" s="14">
        <f>'Job Planner'!D23</f>
        <v>0</v>
      </c>
      <c r="E23" s="13" t="str">
        <f>IF('Job Planner'!D23="GEOMETRY",'Job Planner'!E23,'Job Planner'!K23)</f>
        <v/>
      </c>
      <c r="F23" s="16">
        <f>'Job Planner'!F23</f>
        <v>0</v>
      </c>
      <c r="G23" s="16">
        <f>'Job Planner'!G23</f>
        <v>0</v>
      </c>
      <c r="H23" s="16" t="str">
        <f>'Job Planner'!I23</f>
        <v/>
      </c>
      <c r="I23" s="16" t="str">
        <f>'Job Planner'!J23</f>
        <v/>
      </c>
      <c r="J23" s="16" t="e">
        <f>'Job Planner'!N23</f>
        <v>#VALUE!</v>
      </c>
      <c r="K23" s="16" t="str">
        <f>IF(C23="BC",J23*'Mix Design'!$B$4,IF(C23="DBM",J23*'Mix Design'!$C$4,""))</f>
        <v/>
      </c>
      <c r="L23" s="16" t="str">
        <f>IF(C23="BC",J23*'Mix Design'!$B$5,IF(C23="DBM",J23*'Mix Design'!$C$5,""))</f>
        <v/>
      </c>
      <c r="M23" s="16" t="str">
        <f>IF(C23="BC",J23*'Mix Design'!$B$6,IF(C23="DBM",J23*'Mix Design'!$C$6,""))</f>
        <v/>
      </c>
      <c r="N23" s="16" t="str">
        <f>IF(C23="BC",J23*'Mix Design'!$B$7,IF(C23="DBM",J23*'Mix Design'!$C$7,""))</f>
        <v/>
      </c>
      <c r="O23" s="16" t="str">
        <f>IF(C23="BC",J23*'Mix Design'!$B$8,IF(C23="DBM",J23*'Mix Design'!$C$8,""))</f>
        <v/>
      </c>
      <c r="P23" s="16" t="str">
        <f>IF(C23="BC",J23*'Mix Design'!$B$9,IF(C23="DBM",J23*'Mix Design'!$C$9,""))</f>
        <v/>
      </c>
      <c r="Q23" s="16" t="e">
        <f>'Job Planner'!P23</f>
        <v>#VALUE!</v>
      </c>
      <c r="R23" s="16" t="e">
        <f>'Job Planner'!Q23</f>
        <v>#VALUE!</v>
      </c>
      <c r="S23" s="16" t="e">
        <f>'Job Planner'!S23</f>
        <v>#VALUE!</v>
      </c>
      <c r="T23" s="16" t="e">
        <f>'Job Planner'!Z23</f>
        <v>#VALUE!</v>
      </c>
      <c r="U23" s="16" t="e">
        <f>'Job Planner'!AB23</f>
        <v>#VALUE!</v>
      </c>
      <c r="V23" s="16">
        <f>'Job Planner'!AE23</f>
        <v>0</v>
      </c>
      <c r="W23" s="16">
        <f>'Job Planner'!AF23</f>
        <v>0</v>
      </c>
      <c r="X23" s="16" t="e">
        <f>'Job Planner'!AG23</f>
        <v>#VALUE!</v>
      </c>
      <c r="AB23" t="str">
        <f t="shared" si="0"/>
        <v/>
      </c>
      <c r="AC23" t="str">
        <f t="shared" si="1"/>
        <v/>
      </c>
      <c r="AD23" t="str">
        <f t="shared" si="2"/>
        <v/>
      </c>
      <c r="AE23" t="str">
        <f t="shared" si="3"/>
        <v/>
      </c>
      <c r="AF23" t="str">
        <f t="shared" si="4"/>
        <v/>
      </c>
    </row>
    <row r="24" spans="1:32" x14ac:dyDescent="0.2">
      <c r="A24" s="5">
        <f>'Job Planner'!A24</f>
        <v>0</v>
      </c>
      <c r="B24" s="14">
        <f>'Job Planner'!B24</f>
        <v>0</v>
      </c>
      <c r="C24" s="13">
        <f>'Job Planner'!C24</f>
        <v>0</v>
      </c>
      <c r="D24" s="14">
        <f>'Job Planner'!D24</f>
        <v>0</v>
      </c>
      <c r="E24" s="13" t="str">
        <f>IF('Job Planner'!D24="GEOMETRY",'Job Planner'!E24,'Job Planner'!K24)</f>
        <v/>
      </c>
      <c r="F24" s="16">
        <f>'Job Planner'!F24</f>
        <v>0</v>
      </c>
      <c r="G24" s="16">
        <f>'Job Planner'!G24</f>
        <v>0</v>
      </c>
      <c r="H24" s="16" t="str">
        <f>'Job Planner'!I24</f>
        <v/>
      </c>
      <c r="I24" s="16" t="str">
        <f>'Job Planner'!J24</f>
        <v/>
      </c>
      <c r="J24" s="16" t="e">
        <f>'Job Planner'!N24</f>
        <v>#VALUE!</v>
      </c>
      <c r="K24" s="16" t="str">
        <f>IF(C24="BC",J24*'Mix Design'!$B$4,IF(C24="DBM",J24*'Mix Design'!$C$4,""))</f>
        <v/>
      </c>
      <c r="L24" s="16" t="str">
        <f>IF(C24="BC",J24*'Mix Design'!$B$5,IF(C24="DBM",J24*'Mix Design'!$C$5,""))</f>
        <v/>
      </c>
      <c r="M24" s="16" t="str">
        <f>IF(C24="BC",J24*'Mix Design'!$B$6,IF(C24="DBM",J24*'Mix Design'!$C$6,""))</f>
        <v/>
      </c>
      <c r="N24" s="16" t="str">
        <f>IF(C24="BC",J24*'Mix Design'!$B$7,IF(C24="DBM",J24*'Mix Design'!$C$7,""))</f>
        <v/>
      </c>
      <c r="O24" s="16" t="str">
        <f>IF(C24="BC",J24*'Mix Design'!$B$8,IF(C24="DBM",J24*'Mix Design'!$C$8,""))</f>
        <v/>
      </c>
      <c r="P24" s="16" t="str">
        <f>IF(C24="BC",J24*'Mix Design'!$B$9,IF(C24="DBM",J24*'Mix Design'!$C$9,""))</f>
        <v/>
      </c>
      <c r="Q24" s="16" t="e">
        <f>'Job Planner'!P24</f>
        <v>#VALUE!</v>
      </c>
      <c r="R24" s="16" t="e">
        <f>'Job Planner'!Q24</f>
        <v>#VALUE!</v>
      </c>
      <c r="S24" s="16" t="e">
        <f>'Job Planner'!S24</f>
        <v>#VALUE!</v>
      </c>
      <c r="T24" s="16" t="e">
        <f>'Job Planner'!Z24</f>
        <v>#VALUE!</v>
      </c>
      <c r="U24" s="16" t="e">
        <f>'Job Planner'!AB24</f>
        <v>#VALUE!</v>
      </c>
      <c r="V24" s="16">
        <f>'Job Planner'!AE24</f>
        <v>0</v>
      </c>
      <c r="W24" s="16">
        <f>'Job Planner'!AF24</f>
        <v>0</v>
      </c>
      <c r="X24" s="16" t="e">
        <f>'Job Planner'!AG24</f>
        <v>#VALUE!</v>
      </c>
      <c r="AB24" t="str">
        <f t="shared" si="0"/>
        <v/>
      </c>
      <c r="AC24" t="str">
        <f t="shared" si="1"/>
        <v/>
      </c>
      <c r="AD24" t="str">
        <f t="shared" si="2"/>
        <v/>
      </c>
      <c r="AE24" t="str">
        <f t="shared" si="3"/>
        <v/>
      </c>
      <c r="AF24" t="str">
        <f t="shared" si="4"/>
        <v/>
      </c>
    </row>
    <row r="25" spans="1:32" x14ac:dyDescent="0.2">
      <c r="A25" s="5">
        <f>'Job Planner'!A25</f>
        <v>0</v>
      </c>
      <c r="B25" s="14">
        <f>'Job Planner'!B25</f>
        <v>0</v>
      </c>
      <c r="C25" s="13">
        <f>'Job Planner'!C25</f>
        <v>0</v>
      </c>
      <c r="D25" s="14">
        <f>'Job Planner'!D25</f>
        <v>0</v>
      </c>
      <c r="E25" s="13" t="str">
        <f>IF('Job Planner'!D25="GEOMETRY",'Job Planner'!E25,'Job Planner'!K25)</f>
        <v/>
      </c>
      <c r="F25" s="16">
        <f>'Job Planner'!F25</f>
        <v>0</v>
      </c>
      <c r="G25" s="16">
        <f>'Job Planner'!G25</f>
        <v>0</v>
      </c>
      <c r="H25" s="16" t="str">
        <f>'Job Planner'!I25</f>
        <v/>
      </c>
      <c r="I25" s="16" t="str">
        <f>'Job Planner'!J25</f>
        <v/>
      </c>
      <c r="J25" s="16" t="e">
        <f>'Job Planner'!N25</f>
        <v>#VALUE!</v>
      </c>
      <c r="K25" s="16" t="str">
        <f>IF(C25="BC",J25*'Mix Design'!$B$4,IF(C25="DBM",J25*'Mix Design'!$C$4,""))</f>
        <v/>
      </c>
      <c r="L25" s="16" t="str">
        <f>IF(C25="BC",J25*'Mix Design'!$B$5,IF(C25="DBM",J25*'Mix Design'!$C$5,""))</f>
        <v/>
      </c>
      <c r="M25" s="16" t="str">
        <f>IF(C25="BC",J25*'Mix Design'!$B$6,IF(C25="DBM",J25*'Mix Design'!$C$6,""))</f>
        <v/>
      </c>
      <c r="N25" s="16" t="str">
        <f>IF(C25="BC",J25*'Mix Design'!$B$7,IF(C25="DBM",J25*'Mix Design'!$C$7,""))</f>
        <v/>
      </c>
      <c r="O25" s="16" t="str">
        <f>IF(C25="BC",J25*'Mix Design'!$B$8,IF(C25="DBM",J25*'Mix Design'!$C$8,""))</f>
        <v/>
      </c>
      <c r="P25" s="16" t="str">
        <f>IF(C25="BC",J25*'Mix Design'!$B$9,IF(C25="DBM",J25*'Mix Design'!$C$9,""))</f>
        <v/>
      </c>
      <c r="Q25" s="16" t="e">
        <f>'Job Planner'!P25</f>
        <v>#VALUE!</v>
      </c>
      <c r="R25" s="16" t="e">
        <f>'Job Planner'!Q25</f>
        <v>#VALUE!</v>
      </c>
      <c r="S25" s="16" t="e">
        <f>'Job Planner'!S25</f>
        <v>#VALUE!</v>
      </c>
      <c r="T25" s="16" t="e">
        <f>'Job Planner'!Z25</f>
        <v>#VALUE!</v>
      </c>
      <c r="U25" s="16" t="e">
        <f>'Job Planner'!AB25</f>
        <v>#VALUE!</v>
      </c>
      <c r="V25" s="16">
        <f>'Job Planner'!AE25</f>
        <v>0</v>
      </c>
      <c r="W25" s="16">
        <f>'Job Planner'!AF25</f>
        <v>0</v>
      </c>
      <c r="X25" s="16" t="e">
        <f>'Job Planner'!AG25</f>
        <v>#VALUE!</v>
      </c>
      <c r="AB25" t="str">
        <f t="shared" si="0"/>
        <v/>
      </c>
      <c r="AC25" t="str">
        <f t="shared" si="1"/>
        <v/>
      </c>
      <c r="AD25" t="str">
        <f t="shared" si="2"/>
        <v/>
      </c>
      <c r="AE25" t="str">
        <f t="shared" si="3"/>
        <v/>
      </c>
      <c r="AF25" t="str">
        <f t="shared" si="4"/>
        <v/>
      </c>
    </row>
    <row r="26" spans="1:32" x14ac:dyDescent="0.2">
      <c r="A26" s="5">
        <f>'Job Planner'!A26</f>
        <v>0</v>
      </c>
      <c r="B26" s="14">
        <f>'Job Planner'!B26</f>
        <v>0</v>
      </c>
      <c r="C26" s="13">
        <f>'Job Planner'!C26</f>
        <v>0</v>
      </c>
      <c r="D26" s="14">
        <f>'Job Planner'!D26</f>
        <v>0</v>
      </c>
      <c r="E26" s="13" t="str">
        <f>IF('Job Planner'!D26="GEOMETRY",'Job Planner'!E26,'Job Planner'!K26)</f>
        <v/>
      </c>
      <c r="F26" s="16">
        <f>'Job Planner'!F26</f>
        <v>0</v>
      </c>
      <c r="G26" s="16">
        <f>'Job Planner'!G26</f>
        <v>0</v>
      </c>
      <c r="H26" s="16" t="str">
        <f>'Job Planner'!I26</f>
        <v/>
      </c>
      <c r="I26" s="16" t="str">
        <f>'Job Planner'!J26</f>
        <v/>
      </c>
      <c r="J26" s="16" t="e">
        <f>'Job Planner'!N26</f>
        <v>#VALUE!</v>
      </c>
      <c r="K26" s="16" t="str">
        <f>IF(C26="BC",J26*'Mix Design'!$B$4,IF(C26="DBM",J26*'Mix Design'!$C$4,""))</f>
        <v/>
      </c>
      <c r="L26" s="16" t="str">
        <f>IF(C26="BC",J26*'Mix Design'!$B$5,IF(C26="DBM",J26*'Mix Design'!$C$5,""))</f>
        <v/>
      </c>
      <c r="M26" s="16" t="str">
        <f>IF(C26="BC",J26*'Mix Design'!$B$6,IF(C26="DBM",J26*'Mix Design'!$C$6,""))</f>
        <v/>
      </c>
      <c r="N26" s="16" t="str">
        <f>IF(C26="BC",J26*'Mix Design'!$B$7,IF(C26="DBM",J26*'Mix Design'!$C$7,""))</f>
        <v/>
      </c>
      <c r="O26" s="16" t="str">
        <f>IF(C26="BC",J26*'Mix Design'!$B$8,IF(C26="DBM",J26*'Mix Design'!$C$8,""))</f>
        <v/>
      </c>
      <c r="P26" s="16" t="str">
        <f>IF(C26="BC",J26*'Mix Design'!$B$9,IF(C26="DBM",J26*'Mix Design'!$C$9,""))</f>
        <v/>
      </c>
      <c r="Q26" s="16" t="e">
        <f>'Job Planner'!P26</f>
        <v>#VALUE!</v>
      </c>
      <c r="R26" s="16" t="e">
        <f>'Job Planner'!Q26</f>
        <v>#VALUE!</v>
      </c>
      <c r="S26" s="16" t="e">
        <f>'Job Planner'!S26</f>
        <v>#VALUE!</v>
      </c>
      <c r="T26" s="16" t="e">
        <f>'Job Planner'!Z26</f>
        <v>#VALUE!</v>
      </c>
      <c r="U26" s="16" t="e">
        <f>'Job Planner'!AB26</f>
        <v>#VALUE!</v>
      </c>
      <c r="V26" s="16">
        <f>'Job Planner'!AE26</f>
        <v>0</v>
      </c>
      <c r="W26" s="16">
        <f>'Job Planner'!AF26</f>
        <v>0</v>
      </c>
      <c r="X26" s="16" t="e">
        <f>'Job Planner'!AG26</f>
        <v>#VALUE!</v>
      </c>
      <c r="AB26" t="str">
        <f t="shared" si="0"/>
        <v/>
      </c>
      <c r="AC26" t="str">
        <f t="shared" si="1"/>
        <v/>
      </c>
      <c r="AD26" t="str">
        <f t="shared" si="2"/>
        <v/>
      </c>
      <c r="AE26" t="str">
        <f t="shared" si="3"/>
        <v/>
      </c>
      <c r="AF26" t="str">
        <f t="shared" si="4"/>
        <v/>
      </c>
    </row>
    <row r="27" spans="1:32" x14ac:dyDescent="0.2">
      <c r="A27" s="5">
        <f>'Job Planner'!A27</f>
        <v>0</v>
      </c>
      <c r="B27" s="14">
        <f>'Job Planner'!B27</f>
        <v>0</v>
      </c>
      <c r="C27" s="13">
        <f>'Job Planner'!C27</f>
        <v>0</v>
      </c>
      <c r="D27" s="14">
        <f>'Job Planner'!D27</f>
        <v>0</v>
      </c>
      <c r="E27" s="13" t="str">
        <f>IF('Job Planner'!D27="GEOMETRY",'Job Planner'!E27,'Job Planner'!K27)</f>
        <v/>
      </c>
      <c r="F27" s="16">
        <f>'Job Planner'!F27</f>
        <v>0</v>
      </c>
      <c r="G27" s="16">
        <f>'Job Planner'!G27</f>
        <v>0</v>
      </c>
      <c r="H27" s="16" t="str">
        <f>'Job Planner'!I27</f>
        <v/>
      </c>
      <c r="I27" s="16" t="str">
        <f>'Job Planner'!J27</f>
        <v/>
      </c>
      <c r="J27" s="16" t="e">
        <f>'Job Planner'!N27</f>
        <v>#VALUE!</v>
      </c>
      <c r="K27" s="16" t="str">
        <f>IF(C27="BC",J27*'Mix Design'!$B$4,IF(C27="DBM",J27*'Mix Design'!$C$4,""))</f>
        <v/>
      </c>
      <c r="L27" s="16" t="str">
        <f>IF(C27="BC",J27*'Mix Design'!$B$5,IF(C27="DBM",J27*'Mix Design'!$C$5,""))</f>
        <v/>
      </c>
      <c r="M27" s="16" t="str">
        <f>IF(C27="BC",J27*'Mix Design'!$B$6,IF(C27="DBM",J27*'Mix Design'!$C$6,""))</f>
        <v/>
      </c>
      <c r="N27" s="16" t="str">
        <f>IF(C27="BC",J27*'Mix Design'!$B$7,IF(C27="DBM",J27*'Mix Design'!$C$7,""))</f>
        <v/>
      </c>
      <c r="O27" s="16" t="str">
        <f>IF(C27="BC",J27*'Mix Design'!$B$8,IF(C27="DBM",J27*'Mix Design'!$C$8,""))</f>
        <v/>
      </c>
      <c r="P27" s="16" t="str">
        <f>IF(C27="BC",J27*'Mix Design'!$B$9,IF(C27="DBM",J27*'Mix Design'!$C$9,""))</f>
        <v/>
      </c>
      <c r="Q27" s="16" t="e">
        <f>'Job Planner'!P27</f>
        <v>#VALUE!</v>
      </c>
      <c r="R27" s="16" t="e">
        <f>'Job Planner'!Q27</f>
        <v>#VALUE!</v>
      </c>
      <c r="S27" s="16" t="e">
        <f>'Job Planner'!S27</f>
        <v>#VALUE!</v>
      </c>
      <c r="T27" s="16" t="e">
        <f>'Job Planner'!Z27</f>
        <v>#VALUE!</v>
      </c>
      <c r="U27" s="16" t="e">
        <f>'Job Planner'!AB27</f>
        <v>#VALUE!</v>
      </c>
      <c r="V27" s="16">
        <f>'Job Planner'!AE27</f>
        <v>0</v>
      </c>
      <c r="W27" s="16">
        <f>'Job Planner'!AF27</f>
        <v>0</v>
      </c>
      <c r="X27" s="16" t="e">
        <f>'Job Planner'!AG27</f>
        <v>#VALUE!</v>
      </c>
      <c r="AB27" t="str">
        <f t="shared" si="0"/>
        <v/>
      </c>
      <c r="AC27" t="str">
        <f t="shared" si="1"/>
        <v/>
      </c>
      <c r="AD27" t="str">
        <f t="shared" si="2"/>
        <v/>
      </c>
      <c r="AE27" t="str">
        <f t="shared" si="3"/>
        <v/>
      </c>
      <c r="AF27" t="str">
        <f t="shared" si="4"/>
        <v/>
      </c>
    </row>
    <row r="28" spans="1:32" x14ac:dyDescent="0.2">
      <c r="A28" s="5">
        <f>'Job Planner'!A28</f>
        <v>0</v>
      </c>
      <c r="B28" s="14">
        <f>'Job Planner'!B28</f>
        <v>0</v>
      </c>
      <c r="C28" s="13">
        <f>'Job Planner'!C28</f>
        <v>0</v>
      </c>
      <c r="D28" s="14">
        <f>'Job Planner'!D28</f>
        <v>0</v>
      </c>
      <c r="E28" s="13" t="str">
        <f>IF('Job Planner'!D28="GEOMETRY",'Job Planner'!E28,'Job Planner'!K28)</f>
        <v/>
      </c>
      <c r="F28" s="16">
        <f>'Job Planner'!F28</f>
        <v>0</v>
      </c>
      <c r="G28" s="16">
        <f>'Job Planner'!G28</f>
        <v>0</v>
      </c>
      <c r="H28" s="16" t="str">
        <f>'Job Planner'!I28</f>
        <v/>
      </c>
      <c r="I28" s="16" t="str">
        <f>'Job Planner'!J28</f>
        <v/>
      </c>
      <c r="J28" s="16" t="e">
        <f>'Job Planner'!N28</f>
        <v>#VALUE!</v>
      </c>
      <c r="K28" s="16" t="str">
        <f>IF(C28="BC",J28*'Mix Design'!$B$4,IF(C28="DBM",J28*'Mix Design'!$C$4,""))</f>
        <v/>
      </c>
      <c r="L28" s="16" t="str">
        <f>IF(C28="BC",J28*'Mix Design'!$B$5,IF(C28="DBM",J28*'Mix Design'!$C$5,""))</f>
        <v/>
      </c>
      <c r="M28" s="16" t="str">
        <f>IF(C28="BC",J28*'Mix Design'!$B$6,IF(C28="DBM",J28*'Mix Design'!$C$6,""))</f>
        <v/>
      </c>
      <c r="N28" s="16" t="str">
        <f>IF(C28="BC",J28*'Mix Design'!$B$7,IF(C28="DBM",J28*'Mix Design'!$C$7,""))</f>
        <v/>
      </c>
      <c r="O28" s="16" t="str">
        <f>IF(C28="BC",J28*'Mix Design'!$B$8,IF(C28="DBM",J28*'Mix Design'!$C$8,""))</f>
        <v/>
      </c>
      <c r="P28" s="16" t="str">
        <f>IF(C28="BC",J28*'Mix Design'!$B$9,IF(C28="DBM",J28*'Mix Design'!$C$9,""))</f>
        <v/>
      </c>
      <c r="Q28" s="16" t="e">
        <f>'Job Planner'!P28</f>
        <v>#VALUE!</v>
      </c>
      <c r="R28" s="16" t="e">
        <f>'Job Planner'!Q28</f>
        <v>#VALUE!</v>
      </c>
      <c r="S28" s="16" t="e">
        <f>'Job Planner'!S28</f>
        <v>#VALUE!</v>
      </c>
      <c r="T28" s="16" t="e">
        <f>'Job Planner'!Z28</f>
        <v>#VALUE!</v>
      </c>
      <c r="U28" s="16" t="e">
        <f>'Job Planner'!AB28</f>
        <v>#VALUE!</v>
      </c>
      <c r="V28" s="16">
        <f>'Job Planner'!AE28</f>
        <v>0</v>
      </c>
      <c r="W28" s="16">
        <f>'Job Planner'!AF28</f>
        <v>0</v>
      </c>
      <c r="X28" s="16" t="e">
        <f>'Job Planner'!AG28</f>
        <v>#VALUE!</v>
      </c>
      <c r="AB28" t="str">
        <f t="shared" si="0"/>
        <v/>
      </c>
      <c r="AC28" t="str">
        <f t="shared" si="1"/>
        <v/>
      </c>
      <c r="AD28" t="str">
        <f t="shared" si="2"/>
        <v/>
      </c>
      <c r="AE28" t="str">
        <f t="shared" si="3"/>
        <v/>
      </c>
      <c r="AF28" t="str">
        <f t="shared" si="4"/>
        <v/>
      </c>
    </row>
    <row r="29" spans="1:32" x14ac:dyDescent="0.2">
      <c r="A29" s="5">
        <f>'Job Planner'!A29</f>
        <v>0</v>
      </c>
      <c r="B29" s="14">
        <f>'Job Planner'!B29</f>
        <v>0</v>
      </c>
      <c r="C29" s="13">
        <f>'Job Planner'!C29</f>
        <v>0</v>
      </c>
      <c r="D29" s="14">
        <f>'Job Planner'!D29</f>
        <v>0</v>
      </c>
      <c r="E29" s="13" t="str">
        <f>IF('Job Planner'!D29="GEOMETRY",'Job Planner'!E29,'Job Planner'!K29)</f>
        <v/>
      </c>
      <c r="F29" s="16">
        <f>'Job Planner'!F29</f>
        <v>0</v>
      </c>
      <c r="G29" s="16">
        <f>'Job Planner'!G29</f>
        <v>0</v>
      </c>
      <c r="H29" s="16" t="str">
        <f>'Job Planner'!I29</f>
        <v/>
      </c>
      <c r="I29" s="16" t="str">
        <f>'Job Planner'!J29</f>
        <v/>
      </c>
      <c r="J29" s="16" t="e">
        <f>'Job Planner'!N29</f>
        <v>#VALUE!</v>
      </c>
      <c r="K29" s="16" t="str">
        <f>IF(C29="BC",J29*'Mix Design'!$B$4,IF(C29="DBM",J29*'Mix Design'!$C$4,""))</f>
        <v/>
      </c>
      <c r="L29" s="16" t="str">
        <f>IF(C29="BC",J29*'Mix Design'!$B$5,IF(C29="DBM",J29*'Mix Design'!$C$5,""))</f>
        <v/>
      </c>
      <c r="M29" s="16" t="str">
        <f>IF(C29="BC",J29*'Mix Design'!$B$6,IF(C29="DBM",J29*'Mix Design'!$C$6,""))</f>
        <v/>
      </c>
      <c r="N29" s="16" t="str">
        <f>IF(C29="BC",J29*'Mix Design'!$B$7,IF(C29="DBM",J29*'Mix Design'!$C$7,""))</f>
        <v/>
      </c>
      <c r="O29" s="16" t="str">
        <f>IF(C29="BC",J29*'Mix Design'!$B$8,IF(C29="DBM",J29*'Mix Design'!$C$8,""))</f>
        <v/>
      </c>
      <c r="P29" s="16" t="str">
        <f>IF(C29="BC",J29*'Mix Design'!$B$9,IF(C29="DBM",J29*'Mix Design'!$C$9,""))</f>
        <v/>
      </c>
      <c r="Q29" s="16" t="e">
        <f>'Job Planner'!P29</f>
        <v>#VALUE!</v>
      </c>
      <c r="R29" s="16" t="e">
        <f>'Job Planner'!Q29</f>
        <v>#VALUE!</v>
      </c>
      <c r="S29" s="16" t="e">
        <f>'Job Planner'!S29</f>
        <v>#VALUE!</v>
      </c>
      <c r="T29" s="16" t="e">
        <f>'Job Planner'!Z29</f>
        <v>#VALUE!</v>
      </c>
      <c r="U29" s="16" t="e">
        <f>'Job Planner'!AB29</f>
        <v>#VALUE!</v>
      </c>
      <c r="V29" s="16">
        <f>'Job Planner'!AE29</f>
        <v>0</v>
      </c>
      <c r="W29" s="16">
        <f>'Job Planner'!AF29</f>
        <v>0</v>
      </c>
      <c r="X29" s="16" t="e">
        <f>'Job Planner'!AG29</f>
        <v>#VALUE!</v>
      </c>
      <c r="AB29" t="str">
        <f t="shared" si="0"/>
        <v/>
      </c>
      <c r="AC29" t="str">
        <f t="shared" si="1"/>
        <v/>
      </c>
      <c r="AD29" t="str">
        <f t="shared" si="2"/>
        <v/>
      </c>
      <c r="AE29" t="str">
        <f t="shared" si="3"/>
        <v/>
      </c>
      <c r="AF29" t="str">
        <f t="shared" si="4"/>
        <v/>
      </c>
    </row>
    <row r="30" spans="1:32" x14ac:dyDescent="0.2">
      <c r="A30" s="5">
        <f>'Job Planner'!A30</f>
        <v>0</v>
      </c>
      <c r="B30" s="14">
        <f>'Job Planner'!B30</f>
        <v>0</v>
      </c>
      <c r="C30" s="13">
        <f>'Job Planner'!C30</f>
        <v>0</v>
      </c>
      <c r="D30" s="14">
        <f>'Job Planner'!D30</f>
        <v>0</v>
      </c>
      <c r="E30" s="13" t="str">
        <f>IF('Job Planner'!D30="GEOMETRY",'Job Planner'!E30,'Job Planner'!K30)</f>
        <v/>
      </c>
      <c r="F30" s="16">
        <f>'Job Planner'!F30</f>
        <v>0</v>
      </c>
      <c r="G30" s="16">
        <f>'Job Planner'!G30</f>
        <v>0</v>
      </c>
      <c r="H30" s="16" t="str">
        <f>'Job Planner'!I30</f>
        <v/>
      </c>
      <c r="I30" s="16" t="str">
        <f>'Job Planner'!J30</f>
        <v/>
      </c>
      <c r="J30" s="16" t="e">
        <f>'Job Planner'!N30</f>
        <v>#VALUE!</v>
      </c>
      <c r="K30" s="16" t="str">
        <f>IF(C30="BC",J30*'Mix Design'!$B$4,IF(C30="DBM",J30*'Mix Design'!$C$4,""))</f>
        <v/>
      </c>
      <c r="L30" s="16" t="str">
        <f>IF(C30="BC",J30*'Mix Design'!$B$5,IF(C30="DBM",J30*'Mix Design'!$C$5,""))</f>
        <v/>
      </c>
      <c r="M30" s="16" t="str">
        <f>IF(C30="BC",J30*'Mix Design'!$B$6,IF(C30="DBM",J30*'Mix Design'!$C$6,""))</f>
        <v/>
      </c>
      <c r="N30" s="16" t="str">
        <f>IF(C30="BC",J30*'Mix Design'!$B$7,IF(C30="DBM",J30*'Mix Design'!$C$7,""))</f>
        <v/>
      </c>
      <c r="O30" s="16" t="str">
        <f>IF(C30="BC",J30*'Mix Design'!$B$8,IF(C30="DBM",J30*'Mix Design'!$C$8,""))</f>
        <v/>
      </c>
      <c r="P30" s="16" t="str">
        <f>IF(C30="BC",J30*'Mix Design'!$B$9,IF(C30="DBM",J30*'Mix Design'!$C$9,""))</f>
        <v/>
      </c>
      <c r="Q30" s="16" t="e">
        <f>'Job Planner'!P30</f>
        <v>#VALUE!</v>
      </c>
      <c r="R30" s="16" t="e">
        <f>'Job Planner'!Q30</f>
        <v>#VALUE!</v>
      </c>
      <c r="S30" s="16" t="e">
        <f>'Job Planner'!S30</f>
        <v>#VALUE!</v>
      </c>
      <c r="T30" s="16" t="e">
        <f>'Job Planner'!Z30</f>
        <v>#VALUE!</v>
      </c>
      <c r="U30" s="16" t="e">
        <f>'Job Planner'!AB30</f>
        <v>#VALUE!</v>
      </c>
      <c r="V30" s="16">
        <f>'Job Planner'!AE30</f>
        <v>0</v>
      </c>
      <c r="W30" s="16">
        <f>'Job Planner'!AF30</f>
        <v>0</v>
      </c>
      <c r="X30" s="16" t="e">
        <f>'Job Planner'!AG30</f>
        <v>#VALUE!</v>
      </c>
      <c r="AB30" t="str">
        <f t="shared" si="0"/>
        <v/>
      </c>
      <c r="AC30" t="str">
        <f t="shared" si="1"/>
        <v/>
      </c>
      <c r="AD30" t="str">
        <f t="shared" si="2"/>
        <v/>
      </c>
      <c r="AE30" t="str">
        <f t="shared" si="3"/>
        <v/>
      </c>
      <c r="AF30" t="str">
        <f t="shared" si="4"/>
        <v/>
      </c>
    </row>
    <row r="31" spans="1:32" x14ac:dyDescent="0.2">
      <c r="A31" s="5">
        <f>'Job Planner'!A31</f>
        <v>0</v>
      </c>
      <c r="B31" s="14">
        <f>'Job Planner'!B31</f>
        <v>0</v>
      </c>
      <c r="C31" s="13">
        <f>'Job Planner'!C31</f>
        <v>0</v>
      </c>
      <c r="D31" s="14">
        <f>'Job Planner'!D31</f>
        <v>0</v>
      </c>
      <c r="E31" s="13" t="str">
        <f>IF('Job Planner'!D31="GEOMETRY",'Job Planner'!E31,'Job Planner'!K31)</f>
        <v/>
      </c>
      <c r="F31" s="16">
        <f>'Job Planner'!F31</f>
        <v>0</v>
      </c>
      <c r="G31" s="16">
        <f>'Job Planner'!G31</f>
        <v>0</v>
      </c>
      <c r="H31" s="16" t="str">
        <f>'Job Planner'!I31</f>
        <v/>
      </c>
      <c r="I31" s="16" t="str">
        <f>'Job Planner'!J31</f>
        <v/>
      </c>
      <c r="J31" s="16" t="e">
        <f>'Job Planner'!N31</f>
        <v>#VALUE!</v>
      </c>
      <c r="K31" s="16" t="str">
        <f>IF(C31="BC",J31*'Mix Design'!$B$4,IF(C31="DBM",J31*'Mix Design'!$C$4,""))</f>
        <v/>
      </c>
      <c r="L31" s="16" t="str">
        <f>IF(C31="BC",J31*'Mix Design'!$B$5,IF(C31="DBM",J31*'Mix Design'!$C$5,""))</f>
        <v/>
      </c>
      <c r="M31" s="16" t="str">
        <f>IF(C31="BC",J31*'Mix Design'!$B$6,IF(C31="DBM",J31*'Mix Design'!$C$6,""))</f>
        <v/>
      </c>
      <c r="N31" s="16" t="str">
        <f>IF(C31="BC",J31*'Mix Design'!$B$7,IF(C31="DBM",J31*'Mix Design'!$C$7,""))</f>
        <v/>
      </c>
      <c r="O31" s="16" t="str">
        <f>IF(C31="BC",J31*'Mix Design'!$B$8,IF(C31="DBM",J31*'Mix Design'!$C$8,""))</f>
        <v/>
      </c>
      <c r="P31" s="16" t="str">
        <f>IF(C31="BC",J31*'Mix Design'!$B$9,IF(C31="DBM",J31*'Mix Design'!$C$9,""))</f>
        <v/>
      </c>
      <c r="Q31" s="16" t="e">
        <f>'Job Planner'!P31</f>
        <v>#VALUE!</v>
      </c>
      <c r="R31" s="16" t="e">
        <f>'Job Planner'!Q31</f>
        <v>#VALUE!</v>
      </c>
      <c r="S31" s="16" t="e">
        <f>'Job Planner'!S31</f>
        <v>#VALUE!</v>
      </c>
      <c r="T31" s="16" t="e">
        <f>'Job Planner'!Z31</f>
        <v>#VALUE!</v>
      </c>
      <c r="U31" s="16" t="e">
        <f>'Job Planner'!AB31</f>
        <v>#VALUE!</v>
      </c>
      <c r="V31" s="16">
        <f>'Job Planner'!AE31</f>
        <v>0</v>
      </c>
      <c r="W31" s="16">
        <f>'Job Planner'!AF31</f>
        <v>0</v>
      </c>
      <c r="X31" s="16" t="e">
        <f>'Job Planner'!AG31</f>
        <v>#VALUE!</v>
      </c>
      <c r="AB31" t="str">
        <f t="shared" si="0"/>
        <v/>
      </c>
      <c r="AC31" t="str">
        <f t="shared" si="1"/>
        <v/>
      </c>
      <c r="AD31" t="str">
        <f t="shared" si="2"/>
        <v/>
      </c>
      <c r="AE31" t="str">
        <f t="shared" si="3"/>
        <v/>
      </c>
      <c r="AF31" t="str">
        <f t="shared" si="4"/>
        <v/>
      </c>
    </row>
    <row r="32" spans="1:32" x14ac:dyDescent="0.2">
      <c r="A32" s="5">
        <f>'Job Planner'!A32</f>
        <v>0</v>
      </c>
      <c r="B32" s="14">
        <f>'Job Planner'!B32</f>
        <v>0</v>
      </c>
      <c r="C32" s="13">
        <f>'Job Planner'!C32</f>
        <v>0</v>
      </c>
      <c r="D32" s="14">
        <f>'Job Planner'!D32</f>
        <v>0</v>
      </c>
      <c r="E32" s="13" t="str">
        <f>IF('Job Planner'!D32="GEOMETRY",'Job Planner'!E32,'Job Planner'!K32)</f>
        <v/>
      </c>
      <c r="F32" s="16">
        <f>'Job Planner'!F32</f>
        <v>0</v>
      </c>
      <c r="G32" s="16">
        <f>'Job Planner'!G32</f>
        <v>0</v>
      </c>
      <c r="H32" s="16" t="str">
        <f>'Job Planner'!I32</f>
        <v/>
      </c>
      <c r="I32" s="16" t="str">
        <f>'Job Planner'!J32</f>
        <v/>
      </c>
      <c r="J32" s="16" t="e">
        <f>'Job Planner'!N32</f>
        <v>#VALUE!</v>
      </c>
      <c r="K32" s="16" t="str">
        <f>IF(C32="BC",J32*'Mix Design'!$B$4,IF(C32="DBM",J32*'Mix Design'!$C$4,""))</f>
        <v/>
      </c>
      <c r="L32" s="16" t="str">
        <f>IF(C32="BC",J32*'Mix Design'!$B$5,IF(C32="DBM",J32*'Mix Design'!$C$5,""))</f>
        <v/>
      </c>
      <c r="M32" s="16" t="str">
        <f>IF(C32="BC",J32*'Mix Design'!$B$6,IF(C32="DBM",J32*'Mix Design'!$C$6,""))</f>
        <v/>
      </c>
      <c r="N32" s="16" t="str">
        <f>IF(C32="BC",J32*'Mix Design'!$B$7,IF(C32="DBM",J32*'Mix Design'!$C$7,""))</f>
        <v/>
      </c>
      <c r="O32" s="16" t="str">
        <f>IF(C32="BC",J32*'Mix Design'!$B$8,IF(C32="DBM",J32*'Mix Design'!$C$8,""))</f>
        <v/>
      </c>
      <c r="P32" s="16" t="str">
        <f>IF(C32="BC",J32*'Mix Design'!$B$9,IF(C32="DBM",J32*'Mix Design'!$C$9,""))</f>
        <v/>
      </c>
      <c r="Q32" s="16" t="e">
        <f>'Job Planner'!P32</f>
        <v>#VALUE!</v>
      </c>
      <c r="R32" s="16" t="e">
        <f>'Job Planner'!Q32</f>
        <v>#VALUE!</v>
      </c>
      <c r="S32" s="16" t="e">
        <f>'Job Planner'!S32</f>
        <v>#VALUE!</v>
      </c>
      <c r="T32" s="16" t="e">
        <f>'Job Planner'!Z32</f>
        <v>#VALUE!</v>
      </c>
      <c r="U32" s="16" t="e">
        <f>'Job Planner'!AB32</f>
        <v>#VALUE!</v>
      </c>
      <c r="V32" s="16">
        <f>'Job Planner'!AE32</f>
        <v>0</v>
      </c>
      <c r="W32" s="16">
        <f>'Job Planner'!AF32</f>
        <v>0</v>
      </c>
      <c r="X32" s="16" t="e">
        <f>'Job Planner'!AG32</f>
        <v>#VALUE!</v>
      </c>
      <c r="AB32" t="str">
        <f t="shared" si="0"/>
        <v/>
      </c>
      <c r="AC32" t="str">
        <f t="shared" si="1"/>
        <v/>
      </c>
      <c r="AD32" t="str">
        <f t="shared" si="2"/>
        <v/>
      </c>
      <c r="AE32" t="str">
        <f t="shared" si="3"/>
        <v/>
      </c>
      <c r="AF32" t="str">
        <f t="shared" si="4"/>
        <v/>
      </c>
    </row>
    <row r="33" spans="1:32" x14ac:dyDescent="0.2">
      <c r="A33" s="5">
        <f>'Job Planner'!A33</f>
        <v>0</v>
      </c>
      <c r="B33" s="14">
        <f>'Job Planner'!B33</f>
        <v>0</v>
      </c>
      <c r="C33" s="13">
        <f>'Job Planner'!C33</f>
        <v>0</v>
      </c>
      <c r="D33" s="14">
        <f>'Job Planner'!D33</f>
        <v>0</v>
      </c>
      <c r="E33" s="13" t="str">
        <f>IF('Job Planner'!D33="GEOMETRY",'Job Planner'!E33,'Job Planner'!K33)</f>
        <v/>
      </c>
      <c r="F33" s="16">
        <f>'Job Planner'!F33</f>
        <v>0</v>
      </c>
      <c r="G33" s="16">
        <f>'Job Planner'!G33</f>
        <v>0</v>
      </c>
      <c r="H33" s="16" t="str">
        <f>'Job Planner'!I33</f>
        <v/>
      </c>
      <c r="I33" s="16" t="str">
        <f>'Job Planner'!J33</f>
        <v/>
      </c>
      <c r="J33" s="16" t="e">
        <f>'Job Planner'!N33</f>
        <v>#VALUE!</v>
      </c>
      <c r="K33" s="16" t="str">
        <f>IF(C33="BC",J33*'Mix Design'!$B$4,IF(C33="DBM",J33*'Mix Design'!$C$4,""))</f>
        <v/>
      </c>
      <c r="L33" s="16" t="str">
        <f>IF(C33="BC",J33*'Mix Design'!$B$5,IF(C33="DBM",J33*'Mix Design'!$C$5,""))</f>
        <v/>
      </c>
      <c r="M33" s="16" t="str">
        <f>IF(C33="BC",J33*'Mix Design'!$B$6,IF(C33="DBM",J33*'Mix Design'!$C$6,""))</f>
        <v/>
      </c>
      <c r="N33" s="16" t="str">
        <f>IF(C33="BC",J33*'Mix Design'!$B$7,IF(C33="DBM",J33*'Mix Design'!$C$7,""))</f>
        <v/>
      </c>
      <c r="O33" s="16" t="str">
        <f>IF(C33="BC",J33*'Mix Design'!$B$8,IF(C33="DBM",J33*'Mix Design'!$C$8,""))</f>
        <v/>
      </c>
      <c r="P33" s="16" t="str">
        <f>IF(C33="BC",J33*'Mix Design'!$B$9,IF(C33="DBM",J33*'Mix Design'!$C$9,""))</f>
        <v/>
      </c>
      <c r="Q33" s="16" t="e">
        <f>'Job Planner'!P33</f>
        <v>#VALUE!</v>
      </c>
      <c r="R33" s="16" t="e">
        <f>'Job Planner'!Q33</f>
        <v>#VALUE!</v>
      </c>
      <c r="S33" s="16" t="e">
        <f>'Job Planner'!S33</f>
        <v>#VALUE!</v>
      </c>
      <c r="T33" s="16" t="e">
        <f>'Job Planner'!Z33</f>
        <v>#VALUE!</v>
      </c>
      <c r="U33" s="16" t="e">
        <f>'Job Planner'!AB33</f>
        <v>#VALUE!</v>
      </c>
      <c r="V33" s="16">
        <f>'Job Planner'!AE33</f>
        <v>0</v>
      </c>
      <c r="W33" s="16">
        <f>'Job Planner'!AF33</f>
        <v>0</v>
      </c>
      <c r="X33" s="16" t="e">
        <f>'Job Planner'!AG33</f>
        <v>#VALUE!</v>
      </c>
      <c r="AB33" t="str">
        <f t="shared" si="0"/>
        <v/>
      </c>
      <c r="AC33" t="str">
        <f t="shared" si="1"/>
        <v/>
      </c>
      <c r="AD33" t="str">
        <f t="shared" si="2"/>
        <v/>
      </c>
      <c r="AE33" t="str">
        <f t="shared" si="3"/>
        <v/>
      </c>
      <c r="AF33" t="str">
        <f t="shared" si="4"/>
        <v/>
      </c>
    </row>
    <row r="34" spans="1:32" x14ac:dyDescent="0.2">
      <c r="A34" s="5">
        <f>'Job Planner'!A34</f>
        <v>0</v>
      </c>
      <c r="B34" s="14">
        <f>'Job Planner'!B34</f>
        <v>0</v>
      </c>
      <c r="C34" s="13">
        <f>'Job Planner'!C34</f>
        <v>0</v>
      </c>
      <c r="D34" s="14">
        <f>'Job Planner'!D34</f>
        <v>0</v>
      </c>
      <c r="E34" s="13" t="str">
        <f>IF('Job Planner'!D34="GEOMETRY",'Job Planner'!E34,'Job Planner'!K34)</f>
        <v/>
      </c>
      <c r="F34" s="16">
        <f>'Job Planner'!F34</f>
        <v>0</v>
      </c>
      <c r="G34" s="16">
        <f>'Job Planner'!G34</f>
        <v>0</v>
      </c>
      <c r="H34" s="16" t="str">
        <f>'Job Planner'!I34</f>
        <v/>
      </c>
      <c r="I34" s="16" t="str">
        <f>'Job Planner'!J34</f>
        <v/>
      </c>
      <c r="J34" s="16" t="e">
        <f>'Job Planner'!N34</f>
        <v>#VALUE!</v>
      </c>
      <c r="K34" s="16" t="str">
        <f>IF(C34="BC",J34*'Mix Design'!$B$4,IF(C34="DBM",J34*'Mix Design'!$C$4,""))</f>
        <v/>
      </c>
      <c r="L34" s="16" t="str">
        <f>IF(C34="BC",J34*'Mix Design'!$B$5,IF(C34="DBM",J34*'Mix Design'!$C$5,""))</f>
        <v/>
      </c>
      <c r="M34" s="16" t="str">
        <f>IF(C34="BC",J34*'Mix Design'!$B$6,IF(C34="DBM",J34*'Mix Design'!$C$6,""))</f>
        <v/>
      </c>
      <c r="N34" s="16" t="str">
        <f>IF(C34="BC",J34*'Mix Design'!$B$7,IF(C34="DBM",J34*'Mix Design'!$C$7,""))</f>
        <v/>
      </c>
      <c r="O34" s="16" t="str">
        <f>IF(C34="BC",J34*'Mix Design'!$B$8,IF(C34="DBM",J34*'Mix Design'!$C$8,""))</f>
        <v/>
      </c>
      <c r="P34" s="16" t="str">
        <f>IF(C34="BC",J34*'Mix Design'!$B$9,IF(C34="DBM",J34*'Mix Design'!$C$9,""))</f>
        <v/>
      </c>
      <c r="Q34" s="16" t="e">
        <f>'Job Planner'!P34</f>
        <v>#VALUE!</v>
      </c>
      <c r="R34" s="16" t="e">
        <f>'Job Planner'!Q34</f>
        <v>#VALUE!</v>
      </c>
      <c r="S34" s="16" t="e">
        <f>'Job Planner'!S34</f>
        <v>#VALUE!</v>
      </c>
      <c r="T34" s="16" t="e">
        <f>'Job Planner'!Z34</f>
        <v>#VALUE!</v>
      </c>
      <c r="U34" s="16" t="e">
        <f>'Job Planner'!AB34</f>
        <v>#VALUE!</v>
      </c>
      <c r="V34" s="16">
        <f>'Job Planner'!AE34</f>
        <v>0</v>
      </c>
      <c r="W34" s="16">
        <f>'Job Planner'!AF34</f>
        <v>0</v>
      </c>
      <c r="X34" s="16" t="e">
        <f>'Job Planner'!AG34</f>
        <v>#VALUE!</v>
      </c>
      <c r="AB34" t="str">
        <f t="shared" si="0"/>
        <v/>
      </c>
      <c r="AC34" t="str">
        <f t="shared" si="1"/>
        <v/>
      </c>
      <c r="AD34" t="str">
        <f t="shared" si="2"/>
        <v/>
      </c>
      <c r="AE34" t="str">
        <f t="shared" si="3"/>
        <v/>
      </c>
      <c r="AF34" t="str">
        <f t="shared" si="4"/>
        <v/>
      </c>
    </row>
    <row r="35" spans="1:32" x14ac:dyDescent="0.2">
      <c r="A35" s="5">
        <f>'Job Planner'!A35</f>
        <v>0</v>
      </c>
      <c r="B35" s="14">
        <f>'Job Planner'!B35</f>
        <v>0</v>
      </c>
      <c r="C35" s="13">
        <f>'Job Planner'!C35</f>
        <v>0</v>
      </c>
      <c r="D35" s="14">
        <f>'Job Planner'!D35</f>
        <v>0</v>
      </c>
      <c r="E35" s="13" t="str">
        <f>IF('Job Planner'!D35="GEOMETRY",'Job Planner'!E35,'Job Planner'!K35)</f>
        <v/>
      </c>
      <c r="F35" s="16">
        <f>'Job Planner'!F35</f>
        <v>0</v>
      </c>
      <c r="G35" s="16">
        <f>'Job Planner'!G35</f>
        <v>0</v>
      </c>
      <c r="H35" s="16" t="str">
        <f>'Job Planner'!I35</f>
        <v/>
      </c>
      <c r="I35" s="16" t="str">
        <f>'Job Planner'!J35</f>
        <v/>
      </c>
      <c r="J35" s="16" t="e">
        <f>'Job Planner'!N35</f>
        <v>#VALUE!</v>
      </c>
      <c r="K35" s="16" t="str">
        <f>IF(C35="BC",J35*'Mix Design'!$B$4,IF(C35="DBM",J35*'Mix Design'!$C$4,""))</f>
        <v/>
      </c>
      <c r="L35" s="16" t="str">
        <f>IF(C35="BC",J35*'Mix Design'!$B$5,IF(C35="DBM",J35*'Mix Design'!$C$5,""))</f>
        <v/>
      </c>
      <c r="M35" s="16" t="str">
        <f>IF(C35="BC",J35*'Mix Design'!$B$6,IF(C35="DBM",J35*'Mix Design'!$C$6,""))</f>
        <v/>
      </c>
      <c r="N35" s="16" t="str">
        <f>IF(C35="BC",J35*'Mix Design'!$B$7,IF(C35="DBM",J35*'Mix Design'!$C$7,""))</f>
        <v/>
      </c>
      <c r="O35" s="16" t="str">
        <f>IF(C35="BC",J35*'Mix Design'!$B$8,IF(C35="DBM",J35*'Mix Design'!$C$8,""))</f>
        <v/>
      </c>
      <c r="P35" s="16" t="str">
        <f>IF(C35="BC",J35*'Mix Design'!$B$9,IF(C35="DBM",J35*'Mix Design'!$C$9,""))</f>
        <v/>
      </c>
      <c r="Q35" s="16" t="e">
        <f>'Job Planner'!P35</f>
        <v>#VALUE!</v>
      </c>
      <c r="R35" s="16" t="e">
        <f>'Job Planner'!Q35</f>
        <v>#VALUE!</v>
      </c>
      <c r="S35" s="16" t="e">
        <f>'Job Planner'!S35</f>
        <v>#VALUE!</v>
      </c>
      <c r="T35" s="16" t="e">
        <f>'Job Planner'!Z35</f>
        <v>#VALUE!</v>
      </c>
      <c r="U35" s="16" t="e">
        <f>'Job Planner'!AB35</f>
        <v>#VALUE!</v>
      </c>
      <c r="V35" s="16">
        <f>'Job Planner'!AE35</f>
        <v>0</v>
      </c>
      <c r="W35" s="16">
        <f>'Job Planner'!AF35</f>
        <v>0</v>
      </c>
      <c r="X35" s="16" t="e">
        <f>'Job Planner'!AG35</f>
        <v>#VALUE!</v>
      </c>
      <c r="AB35" t="str">
        <f t="shared" si="0"/>
        <v/>
      </c>
      <c r="AC35" t="str">
        <f t="shared" si="1"/>
        <v/>
      </c>
      <c r="AD35" t="str">
        <f t="shared" si="2"/>
        <v/>
      </c>
      <c r="AE35" t="str">
        <f t="shared" si="3"/>
        <v/>
      </c>
      <c r="AF35" t="str">
        <f t="shared" si="4"/>
        <v/>
      </c>
    </row>
    <row r="36" spans="1:32" x14ac:dyDescent="0.2">
      <c r="A36" s="5">
        <f>'Job Planner'!A36</f>
        <v>0</v>
      </c>
      <c r="B36" s="14">
        <f>'Job Planner'!B36</f>
        <v>0</v>
      </c>
      <c r="C36" s="13">
        <f>'Job Planner'!C36</f>
        <v>0</v>
      </c>
      <c r="D36" s="14">
        <f>'Job Planner'!D36</f>
        <v>0</v>
      </c>
      <c r="E36" s="13" t="str">
        <f>IF('Job Planner'!D36="GEOMETRY",'Job Planner'!E36,'Job Planner'!K36)</f>
        <v/>
      </c>
      <c r="F36" s="16">
        <f>'Job Planner'!F36</f>
        <v>0</v>
      </c>
      <c r="G36" s="16">
        <f>'Job Planner'!G36</f>
        <v>0</v>
      </c>
      <c r="H36" s="16" t="str">
        <f>'Job Planner'!I36</f>
        <v/>
      </c>
      <c r="I36" s="16" t="str">
        <f>'Job Planner'!J36</f>
        <v/>
      </c>
      <c r="J36" s="16" t="e">
        <f>'Job Planner'!N36</f>
        <v>#VALUE!</v>
      </c>
      <c r="K36" s="16" t="str">
        <f>IF(C36="BC",J36*'Mix Design'!$B$4,IF(C36="DBM",J36*'Mix Design'!$C$4,""))</f>
        <v/>
      </c>
      <c r="L36" s="16" t="str">
        <f>IF(C36="BC",J36*'Mix Design'!$B$5,IF(C36="DBM",J36*'Mix Design'!$C$5,""))</f>
        <v/>
      </c>
      <c r="M36" s="16" t="str">
        <f>IF(C36="BC",J36*'Mix Design'!$B$6,IF(C36="DBM",J36*'Mix Design'!$C$6,""))</f>
        <v/>
      </c>
      <c r="N36" s="16" t="str">
        <f>IF(C36="BC",J36*'Mix Design'!$B$7,IF(C36="DBM",J36*'Mix Design'!$C$7,""))</f>
        <v/>
      </c>
      <c r="O36" s="16" t="str">
        <f>IF(C36="BC",J36*'Mix Design'!$B$8,IF(C36="DBM",J36*'Mix Design'!$C$8,""))</f>
        <v/>
      </c>
      <c r="P36" s="16" t="str">
        <f>IF(C36="BC",J36*'Mix Design'!$B$9,IF(C36="DBM",J36*'Mix Design'!$C$9,""))</f>
        <v/>
      </c>
      <c r="Q36" s="16" t="e">
        <f>'Job Planner'!P36</f>
        <v>#VALUE!</v>
      </c>
      <c r="R36" s="16" t="e">
        <f>'Job Planner'!Q36</f>
        <v>#VALUE!</v>
      </c>
      <c r="S36" s="16" t="e">
        <f>'Job Planner'!S36</f>
        <v>#VALUE!</v>
      </c>
      <c r="T36" s="16" t="e">
        <f>'Job Planner'!Z36</f>
        <v>#VALUE!</v>
      </c>
      <c r="U36" s="16" t="e">
        <f>'Job Planner'!AB36</f>
        <v>#VALUE!</v>
      </c>
      <c r="V36" s="16">
        <f>'Job Planner'!AE36</f>
        <v>0</v>
      </c>
      <c r="W36" s="16">
        <f>'Job Planner'!AF36</f>
        <v>0</v>
      </c>
      <c r="X36" s="16" t="e">
        <f>'Job Planner'!AG36</f>
        <v>#VALUE!</v>
      </c>
      <c r="AB36" t="str">
        <f t="shared" si="0"/>
        <v/>
      </c>
      <c r="AC36" t="str">
        <f t="shared" si="1"/>
        <v/>
      </c>
      <c r="AD36" t="str">
        <f t="shared" si="2"/>
        <v/>
      </c>
      <c r="AE36" t="str">
        <f t="shared" si="3"/>
        <v/>
      </c>
      <c r="AF36" t="str">
        <f t="shared" si="4"/>
        <v/>
      </c>
    </row>
    <row r="37" spans="1:32" x14ac:dyDescent="0.2">
      <c r="A37" s="5">
        <f>'Job Planner'!A37</f>
        <v>0</v>
      </c>
      <c r="B37" s="14">
        <f>'Job Planner'!B37</f>
        <v>0</v>
      </c>
      <c r="C37" s="13">
        <f>'Job Planner'!C37</f>
        <v>0</v>
      </c>
      <c r="D37" s="14">
        <f>'Job Planner'!D37</f>
        <v>0</v>
      </c>
      <c r="E37" s="13" t="str">
        <f>IF('Job Planner'!D37="GEOMETRY",'Job Planner'!E37,'Job Planner'!K37)</f>
        <v/>
      </c>
      <c r="F37" s="16">
        <f>'Job Planner'!F37</f>
        <v>0</v>
      </c>
      <c r="G37" s="16">
        <f>'Job Planner'!G37</f>
        <v>0</v>
      </c>
      <c r="H37" s="16" t="str">
        <f>'Job Planner'!I37</f>
        <v/>
      </c>
      <c r="I37" s="16" t="str">
        <f>'Job Planner'!J37</f>
        <v/>
      </c>
      <c r="J37" s="16" t="e">
        <f>'Job Planner'!N37</f>
        <v>#VALUE!</v>
      </c>
      <c r="K37" s="16" t="str">
        <f>IF(C37="BC",J37*'Mix Design'!$B$4,IF(C37="DBM",J37*'Mix Design'!$C$4,""))</f>
        <v/>
      </c>
      <c r="L37" s="16" t="str">
        <f>IF(C37="BC",J37*'Mix Design'!$B$5,IF(C37="DBM",J37*'Mix Design'!$C$5,""))</f>
        <v/>
      </c>
      <c r="M37" s="16" t="str">
        <f>IF(C37="BC",J37*'Mix Design'!$B$6,IF(C37="DBM",J37*'Mix Design'!$C$6,""))</f>
        <v/>
      </c>
      <c r="N37" s="16" t="str">
        <f>IF(C37="BC",J37*'Mix Design'!$B$7,IF(C37="DBM",J37*'Mix Design'!$C$7,""))</f>
        <v/>
      </c>
      <c r="O37" s="16" t="str">
        <f>IF(C37="BC",J37*'Mix Design'!$B$8,IF(C37="DBM",J37*'Mix Design'!$C$8,""))</f>
        <v/>
      </c>
      <c r="P37" s="16" t="str">
        <f>IF(C37="BC",J37*'Mix Design'!$B$9,IF(C37="DBM",J37*'Mix Design'!$C$9,""))</f>
        <v/>
      </c>
      <c r="Q37" s="16" t="e">
        <f>'Job Planner'!P37</f>
        <v>#VALUE!</v>
      </c>
      <c r="R37" s="16" t="e">
        <f>'Job Planner'!Q37</f>
        <v>#VALUE!</v>
      </c>
      <c r="S37" s="16" t="e">
        <f>'Job Planner'!S37</f>
        <v>#VALUE!</v>
      </c>
      <c r="T37" s="16" t="e">
        <f>'Job Planner'!Z37</f>
        <v>#VALUE!</v>
      </c>
      <c r="U37" s="16" t="e">
        <f>'Job Planner'!AB37</f>
        <v>#VALUE!</v>
      </c>
      <c r="V37" s="16">
        <f>'Job Planner'!AE37</f>
        <v>0</v>
      </c>
      <c r="W37" s="16">
        <f>'Job Planner'!AF37</f>
        <v>0</v>
      </c>
      <c r="X37" s="16" t="e">
        <f>'Job Planner'!AG37</f>
        <v>#VALUE!</v>
      </c>
      <c r="AB37" t="str">
        <f t="shared" si="0"/>
        <v/>
      </c>
      <c r="AC37" t="str">
        <f t="shared" si="1"/>
        <v/>
      </c>
      <c r="AD37" t="str">
        <f t="shared" si="2"/>
        <v/>
      </c>
      <c r="AE37" t="str">
        <f t="shared" si="3"/>
        <v/>
      </c>
      <c r="AF37" t="str">
        <f t="shared" si="4"/>
        <v/>
      </c>
    </row>
    <row r="38" spans="1:32" x14ac:dyDescent="0.2">
      <c r="A38" s="5">
        <f>'Job Planner'!A38</f>
        <v>0</v>
      </c>
      <c r="B38" s="14">
        <f>'Job Planner'!B38</f>
        <v>0</v>
      </c>
      <c r="C38" s="13">
        <f>'Job Planner'!C38</f>
        <v>0</v>
      </c>
      <c r="D38" s="14">
        <f>'Job Planner'!D38</f>
        <v>0</v>
      </c>
      <c r="E38" s="13" t="str">
        <f>IF('Job Planner'!D38="GEOMETRY",'Job Planner'!E38,'Job Planner'!K38)</f>
        <v/>
      </c>
      <c r="F38" s="16">
        <f>'Job Planner'!F38</f>
        <v>0</v>
      </c>
      <c r="G38" s="16">
        <f>'Job Planner'!G38</f>
        <v>0</v>
      </c>
      <c r="H38" s="16" t="str">
        <f>'Job Planner'!I38</f>
        <v/>
      </c>
      <c r="I38" s="16" t="str">
        <f>'Job Planner'!J38</f>
        <v/>
      </c>
      <c r="J38" s="16" t="e">
        <f>'Job Planner'!N38</f>
        <v>#VALUE!</v>
      </c>
      <c r="K38" s="16" t="str">
        <f>IF(C38="BC",J38*'Mix Design'!$B$4,IF(C38="DBM",J38*'Mix Design'!$C$4,""))</f>
        <v/>
      </c>
      <c r="L38" s="16" t="str">
        <f>IF(C38="BC",J38*'Mix Design'!$B$5,IF(C38="DBM",J38*'Mix Design'!$C$5,""))</f>
        <v/>
      </c>
      <c r="M38" s="16" t="str">
        <f>IF(C38="BC",J38*'Mix Design'!$B$6,IF(C38="DBM",J38*'Mix Design'!$C$6,""))</f>
        <v/>
      </c>
      <c r="N38" s="16" t="str">
        <f>IF(C38="BC",J38*'Mix Design'!$B$7,IF(C38="DBM",J38*'Mix Design'!$C$7,""))</f>
        <v/>
      </c>
      <c r="O38" s="16" t="str">
        <f>IF(C38="BC",J38*'Mix Design'!$B$8,IF(C38="DBM",J38*'Mix Design'!$C$8,""))</f>
        <v/>
      </c>
      <c r="P38" s="16" t="str">
        <f>IF(C38="BC",J38*'Mix Design'!$B$9,IF(C38="DBM",J38*'Mix Design'!$C$9,""))</f>
        <v/>
      </c>
      <c r="Q38" s="16" t="e">
        <f>'Job Planner'!P38</f>
        <v>#VALUE!</v>
      </c>
      <c r="R38" s="16" t="e">
        <f>'Job Planner'!Q38</f>
        <v>#VALUE!</v>
      </c>
      <c r="S38" s="16" t="e">
        <f>'Job Planner'!S38</f>
        <v>#VALUE!</v>
      </c>
      <c r="T38" s="16" t="e">
        <f>'Job Planner'!Z38</f>
        <v>#VALUE!</v>
      </c>
      <c r="U38" s="16" t="e">
        <f>'Job Planner'!AB38</f>
        <v>#VALUE!</v>
      </c>
      <c r="V38" s="16">
        <f>'Job Planner'!AE38</f>
        <v>0</v>
      </c>
      <c r="W38" s="16">
        <f>'Job Planner'!AF38</f>
        <v>0</v>
      </c>
      <c r="X38" s="16" t="e">
        <f>'Job Planner'!AG38</f>
        <v>#VALUE!</v>
      </c>
      <c r="AB38" t="str">
        <f t="shared" si="0"/>
        <v/>
      </c>
      <c r="AC38" t="str">
        <f t="shared" si="1"/>
        <v/>
      </c>
      <c r="AD38" t="str">
        <f t="shared" si="2"/>
        <v/>
      </c>
      <c r="AE38" t="str">
        <f t="shared" si="3"/>
        <v/>
      </c>
      <c r="AF38" t="str">
        <f t="shared" si="4"/>
        <v/>
      </c>
    </row>
    <row r="39" spans="1:32" x14ac:dyDescent="0.2">
      <c r="A39" s="5">
        <f>'Job Planner'!A39</f>
        <v>0</v>
      </c>
      <c r="B39" s="14">
        <f>'Job Planner'!B39</f>
        <v>0</v>
      </c>
      <c r="C39" s="13">
        <f>'Job Planner'!C39</f>
        <v>0</v>
      </c>
      <c r="D39" s="14">
        <f>'Job Planner'!D39</f>
        <v>0</v>
      </c>
      <c r="E39" s="13" t="str">
        <f>IF('Job Planner'!D39="GEOMETRY",'Job Planner'!E39,'Job Planner'!K39)</f>
        <v/>
      </c>
      <c r="F39" s="16">
        <f>'Job Planner'!F39</f>
        <v>0</v>
      </c>
      <c r="G39" s="16">
        <f>'Job Planner'!G39</f>
        <v>0</v>
      </c>
      <c r="H39" s="16" t="str">
        <f>'Job Planner'!I39</f>
        <v/>
      </c>
      <c r="I39" s="16" t="str">
        <f>'Job Planner'!J39</f>
        <v/>
      </c>
      <c r="J39" s="16" t="e">
        <f>'Job Planner'!N39</f>
        <v>#VALUE!</v>
      </c>
      <c r="K39" s="16" t="str">
        <f>IF(C39="BC",J39*'Mix Design'!$B$4,IF(C39="DBM",J39*'Mix Design'!$C$4,""))</f>
        <v/>
      </c>
      <c r="L39" s="16" t="str">
        <f>IF(C39="BC",J39*'Mix Design'!$B$5,IF(C39="DBM",J39*'Mix Design'!$C$5,""))</f>
        <v/>
      </c>
      <c r="M39" s="16" t="str">
        <f>IF(C39="BC",J39*'Mix Design'!$B$6,IF(C39="DBM",J39*'Mix Design'!$C$6,""))</f>
        <v/>
      </c>
      <c r="N39" s="16" t="str">
        <f>IF(C39="BC",J39*'Mix Design'!$B$7,IF(C39="DBM",J39*'Mix Design'!$C$7,""))</f>
        <v/>
      </c>
      <c r="O39" s="16" t="str">
        <f>IF(C39="BC",J39*'Mix Design'!$B$8,IF(C39="DBM",J39*'Mix Design'!$C$8,""))</f>
        <v/>
      </c>
      <c r="P39" s="16" t="str">
        <f>IF(C39="BC",J39*'Mix Design'!$B$9,IF(C39="DBM",J39*'Mix Design'!$C$9,""))</f>
        <v/>
      </c>
      <c r="Q39" s="16" t="e">
        <f>'Job Planner'!P39</f>
        <v>#VALUE!</v>
      </c>
      <c r="R39" s="16" t="e">
        <f>'Job Planner'!Q39</f>
        <v>#VALUE!</v>
      </c>
      <c r="S39" s="16" t="e">
        <f>'Job Planner'!S39</f>
        <v>#VALUE!</v>
      </c>
      <c r="T39" s="16" t="e">
        <f>'Job Planner'!Z39</f>
        <v>#VALUE!</v>
      </c>
      <c r="U39" s="16" t="e">
        <f>'Job Planner'!AB39</f>
        <v>#VALUE!</v>
      </c>
      <c r="V39" s="16">
        <f>'Job Planner'!AE39</f>
        <v>0</v>
      </c>
      <c r="W39" s="16">
        <f>'Job Planner'!AF39</f>
        <v>0</v>
      </c>
      <c r="X39" s="16" t="e">
        <f>'Job Planner'!AG39</f>
        <v>#VALUE!</v>
      </c>
      <c r="AB39" t="str">
        <f t="shared" si="0"/>
        <v/>
      </c>
      <c r="AC39" t="str">
        <f t="shared" si="1"/>
        <v/>
      </c>
      <c r="AD39" t="str">
        <f t="shared" si="2"/>
        <v/>
      </c>
      <c r="AE39" t="str">
        <f t="shared" si="3"/>
        <v/>
      </c>
      <c r="AF39" t="str">
        <f t="shared" si="4"/>
        <v/>
      </c>
    </row>
    <row r="40" spans="1:32" x14ac:dyDescent="0.2">
      <c r="A40" s="5">
        <f>'Job Planner'!A40</f>
        <v>0</v>
      </c>
      <c r="B40" s="14">
        <f>'Job Planner'!B40</f>
        <v>0</v>
      </c>
      <c r="C40" s="13">
        <f>'Job Planner'!C40</f>
        <v>0</v>
      </c>
      <c r="D40" s="14">
        <f>'Job Planner'!D40</f>
        <v>0</v>
      </c>
      <c r="E40" s="13" t="str">
        <f>IF('Job Planner'!D40="GEOMETRY",'Job Planner'!E40,'Job Planner'!K40)</f>
        <v/>
      </c>
      <c r="F40" s="16">
        <f>'Job Planner'!F40</f>
        <v>0</v>
      </c>
      <c r="G40" s="16">
        <f>'Job Planner'!G40</f>
        <v>0</v>
      </c>
      <c r="H40" s="16" t="str">
        <f>'Job Planner'!I40</f>
        <v/>
      </c>
      <c r="I40" s="16" t="str">
        <f>'Job Planner'!J40</f>
        <v/>
      </c>
      <c r="J40" s="16" t="e">
        <f>'Job Planner'!N40</f>
        <v>#VALUE!</v>
      </c>
      <c r="K40" s="16" t="str">
        <f>IF(C40="BC",J40*'Mix Design'!$B$4,IF(C40="DBM",J40*'Mix Design'!$C$4,""))</f>
        <v/>
      </c>
      <c r="L40" s="16" t="str">
        <f>IF(C40="BC",J40*'Mix Design'!$B$5,IF(C40="DBM",J40*'Mix Design'!$C$5,""))</f>
        <v/>
      </c>
      <c r="M40" s="16" t="str">
        <f>IF(C40="BC",J40*'Mix Design'!$B$6,IF(C40="DBM",J40*'Mix Design'!$C$6,""))</f>
        <v/>
      </c>
      <c r="N40" s="16" t="str">
        <f>IF(C40="BC",J40*'Mix Design'!$B$7,IF(C40="DBM",J40*'Mix Design'!$C$7,""))</f>
        <v/>
      </c>
      <c r="O40" s="16" t="str">
        <f>IF(C40="BC",J40*'Mix Design'!$B$8,IF(C40="DBM",J40*'Mix Design'!$C$8,""))</f>
        <v/>
      </c>
      <c r="P40" s="16" t="str">
        <f>IF(C40="BC",J40*'Mix Design'!$B$9,IF(C40="DBM",J40*'Mix Design'!$C$9,""))</f>
        <v/>
      </c>
      <c r="Q40" s="16" t="e">
        <f>'Job Planner'!P40</f>
        <v>#VALUE!</v>
      </c>
      <c r="R40" s="16" t="e">
        <f>'Job Planner'!Q40</f>
        <v>#VALUE!</v>
      </c>
      <c r="S40" s="16" t="e">
        <f>'Job Planner'!S40</f>
        <v>#VALUE!</v>
      </c>
      <c r="T40" s="16" t="e">
        <f>'Job Planner'!Z40</f>
        <v>#VALUE!</v>
      </c>
      <c r="U40" s="16" t="e">
        <f>'Job Planner'!AB40</f>
        <v>#VALUE!</v>
      </c>
      <c r="V40" s="16">
        <f>'Job Planner'!AE40</f>
        <v>0</v>
      </c>
      <c r="W40" s="16">
        <f>'Job Planner'!AF40</f>
        <v>0</v>
      </c>
      <c r="X40" s="16" t="e">
        <f>'Job Planner'!AG40</f>
        <v>#VALUE!</v>
      </c>
      <c r="AB40" t="str">
        <f t="shared" si="0"/>
        <v/>
      </c>
      <c r="AC40" t="str">
        <f t="shared" si="1"/>
        <v/>
      </c>
      <c r="AD40" t="str">
        <f t="shared" si="2"/>
        <v/>
      </c>
      <c r="AE40" t="str">
        <f t="shared" si="3"/>
        <v/>
      </c>
      <c r="AF40" t="str">
        <f t="shared" si="4"/>
        <v/>
      </c>
    </row>
    <row r="41" spans="1:32" x14ac:dyDescent="0.2">
      <c r="A41" s="5">
        <f>'Job Planner'!A41</f>
        <v>0</v>
      </c>
      <c r="B41" s="14">
        <f>'Job Planner'!B41</f>
        <v>0</v>
      </c>
      <c r="C41" s="13">
        <f>'Job Planner'!C41</f>
        <v>0</v>
      </c>
      <c r="D41" s="14">
        <f>'Job Planner'!D41</f>
        <v>0</v>
      </c>
      <c r="E41" s="13" t="str">
        <f>IF('Job Planner'!D41="GEOMETRY",'Job Planner'!E41,'Job Planner'!K41)</f>
        <v/>
      </c>
      <c r="F41" s="16">
        <f>'Job Planner'!F41</f>
        <v>0</v>
      </c>
      <c r="G41" s="16">
        <f>'Job Planner'!G41</f>
        <v>0</v>
      </c>
      <c r="H41" s="16" t="str">
        <f>'Job Planner'!I41</f>
        <v/>
      </c>
      <c r="I41" s="16" t="str">
        <f>'Job Planner'!J41</f>
        <v/>
      </c>
      <c r="J41" s="16" t="e">
        <f>'Job Planner'!N41</f>
        <v>#VALUE!</v>
      </c>
      <c r="K41" s="16" t="str">
        <f>IF(C41="BC",J41*'Mix Design'!$B$4,IF(C41="DBM",J41*'Mix Design'!$C$4,""))</f>
        <v/>
      </c>
      <c r="L41" s="16" t="str">
        <f>IF(C41="BC",J41*'Mix Design'!$B$5,IF(C41="DBM",J41*'Mix Design'!$C$5,""))</f>
        <v/>
      </c>
      <c r="M41" s="16" t="str">
        <f>IF(C41="BC",J41*'Mix Design'!$B$6,IF(C41="DBM",J41*'Mix Design'!$C$6,""))</f>
        <v/>
      </c>
      <c r="N41" s="16" t="str">
        <f>IF(C41="BC",J41*'Mix Design'!$B$7,IF(C41="DBM",J41*'Mix Design'!$C$7,""))</f>
        <v/>
      </c>
      <c r="O41" s="16" t="str">
        <f>IF(C41="BC",J41*'Mix Design'!$B$8,IF(C41="DBM",J41*'Mix Design'!$C$8,""))</f>
        <v/>
      </c>
      <c r="P41" s="16" t="str">
        <f>IF(C41="BC",J41*'Mix Design'!$B$9,IF(C41="DBM",J41*'Mix Design'!$C$9,""))</f>
        <v/>
      </c>
      <c r="Q41" s="16" t="e">
        <f>'Job Planner'!P41</f>
        <v>#VALUE!</v>
      </c>
      <c r="R41" s="16" t="e">
        <f>'Job Planner'!Q41</f>
        <v>#VALUE!</v>
      </c>
      <c r="S41" s="16" t="e">
        <f>'Job Planner'!S41</f>
        <v>#VALUE!</v>
      </c>
      <c r="T41" s="16" t="e">
        <f>'Job Planner'!Z41</f>
        <v>#VALUE!</v>
      </c>
      <c r="U41" s="16" t="e">
        <f>'Job Planner'!AB41</f>
        <v>#VALUE!</v>
      </c>
      <c r="V41" s="16">
        <f>'Job Planner'!AE41</f>
        <v>0</v>
      </c>
      <c r="W41" s="16">
        <f>'Job Planner'!AF41</f>
        <v>0</v>
      </c>
      <c r="X41" s="16" t="e">
        <f>'Job Planner'!AG41</f>
        <v>#VALUE!</v>
      </c>
      <c r="AB41" t="str">
        <f t="shared" si="0"/>
        <v/>
      </c>
      <c r="AC41" t="str">
        <f t="shared" si="1"/>
        <v/>
      </c>
      <c r="AD41" t="str">
        <f t="shared" si="2"/>
        <v/>
      </c>
      <c r="AE41" t="str">
        <f t="shared" si="3"/>
        <v/>
      </c>
      <c r="AF41" t="str">
        <f t="shared" si="4"/>
        <v/>
      </c>
    </row>
    <row r="42" spans="1:32" x14ac:dyDescent="0.2">
      <c r="A42" s="5">
        <f>'Job Planner'!A42</f>
        <v>0</v>
      </c>
      <c r="B42" s="14">
        <f>'Job Planner'!B42</f>
        <v>0</v>
      </c>
      <c r="C42" s="13">
        <f>'Job Planner'!C42</f>
        <v>0</v>
      </c>
      <c r="D42" s="14">
        <f>'Job Planner'!D42</f>
        <v>0</v>
      </c>
      <c r="E42" s="13" t="str">
        <f>IF('Job Planner'!D42="GEOMETRY",'Job Planner'!E42,'Job Planner'!K42)</f>
        <v/>
      </c>
      <c r="F42" s="16">
        <f>'Job Planner'!F42</f>
        <v>0</v>
      </c>
      <c r="G42" s="16">
        <f>'Job Planner'!G42</f>
        <v>0</v>
      </c>
      <c r="H42" s="16" t="str">
        <f>'Job Planner'!I42</f>
        <v/>
      </c>
      <c r="I42" s="16" t="str">
        <f>'Job Planner'!J42</f>
        <v/>
      </c>
      <c r="J42" s="16" t="e">
        <f>'Job Planner'!N42</f>
        <v>#VALUE!</v>
      </c>
      <c r="K42" s="16" t="str">
        <f>IF(C42="BC",J42*'Mix Design'!$B$4,IF(C42="DBM",J42*'Mix Design'!$C$4,""))</f>
        <v/>
      </c>
      <c r="L42" s="16" t="str">
        <f>IF(C42="BC",J42*'Mix Design'!$B$5,IF(C42="DBM",J42*'Mix Design'!$C$5,""))</f>
        <v/>
      </c>
      <c r="M42" s="16" t="str">
        <f>IF(C42="BC",J42*'Mix Design'!$B$6,IF(C42="DBM",J42*'Mix Design'!$C$6,""))</f>
        <v/>
      </c>
      <c r="N42" s="16" t="str">
        <f>IF(C42="BC",J42*'Mix Design'!$B$7,IF(C42="DBM",J42*'Mix Design'!$C$7,""))</f>
        <v/>
      </c>
      <c r="O42" s="16" t="str">
        <f>IF(C42="BC",J42*'Mix Design'!$B$8,IF(C42="DBM",J42*'Mix Design'!$C$8,""))</f>
        <v/>
      </c>
      <c r="P42" s="16" t="str">
        <f>IF(C42="BC",J42*'Mix Design'!$B$9,IF(C42="DBM",J42*'Mix Design'!$C$9,""))</f>
        <v/>
      </c>
      <c r="Q42" s="16" t="e">
        <f>'Job Planner'!P42</f>
        <v>#VALUE!</v>
      </c>
      <c r="R42" s="16" t="e">
        <f>'Job Planner'!Q42</f>
        <v>#VALUE!</v>
      </c>
      <c r="S42" s="16" t="e">
        <f>'Job Planner'!S42</f>
        <v>#VALUE!</v>
      </c>
      <c r="T42" s="16" t="e">
        <f>'Job Planner'!Z42</f>
        <v>#VALUE!</v>
      </c>
      <c r="U42" s="16" t="e">
        <f>'Job Planner'!AB42</f>
        <v>#VALUE!</v>
      </c>
      <c r="V42" s="16">
        <f>'Job Planner'!AE42</f>
        <v>0</v>
      </c>
      <c r="W42" s="16">
        <f>'Job Planner'!AF42</f>
        <v>0</v>
      </c>
      <c r="X42" s="16" t="e">
        <f>'Job Planner'!AG42</f>
        <v>#VALUE!</v>
      </c>
      <c r="AB42" t="str">
        <f t="shared" si="0"/>
        <v/>
      </c>
      <c r="AC42" t="str">
        <f t="shared" si="1"/>
        <v/>
      </c>
      <c r="AD42" t="str">
        <f t="shared" si="2"/>
        <v/>
      </c>
      <c r="AE42" t="str">
        <f t="shared" si="3"/>
        <v/>
      </c>
      <c r="AF42" t="str">
        <f t="shared" si="4"/>
        <v/>
      </c>
    </row>
    <row r="43" spans="1:32" x14ac:dyDescent="0.2">
      <c r="A43" s="5">
        <f>'Job Planner'!A43</f>
        <v>0</v>
      </c>
      <c r="B43" s="14">
        <f>'Job Planner'!B43</f>
        <v>0</v>
      </c>
      <c r="C43" s="13">
        <f>'Job Planner'!C43</f>
        <v>0</v>
      </c>
      <c r="D43" s="14">
        <f>'Job Planner'!D43</f>
        <v>0</v>
      </c>
      <c r="E43" s="13" t="str">
        <f>IF('Job Planner'!D43="GEOMETRY",'Job Planner'!E43,'Job Planner'!K43)</f>
        <v/>
      </c>
      <c r="F43" s="16">
        <f>'Job Planner'!F43</f>
        <v>0</v>
      </c>
      <c r="G43" s="16">
        <f>'Job Planner'!G43</f>
        <v>0</v>
      </c>
      <c r="H43" s="16" t="str">
        <f>'Job Planner'!I43</f>
        <v/>
      </c>
      <c r="I43" s="16" t="str">
        <f>'Job Planner'!J43</f>
        <v/>
      </c>
      <c r="J43" s="16" t="e">
        <f>'Job Planner'!N43</f>
        <v>#VALUE!</v>
      </c>
      <c r="K43" s="16" t="str">
        <f>IF(C43="BC",J43*'Mix Design'!$B$4,IF(C43="DBM",J43*'Mix Design'!$C$4,""))</f>
        <v/>
      </c>
      <c r="L43" s="16" t="str">
        <f>IF(C43="BC",J43*'Mix Design'!$B$5,IF(C43="DBM",J43*'Mix Design'!$C$5,""))</f>
        <v/>
      </c>
      <c r="M43" s="16" t="str">
        <f>IF(C43="BC",J43*'Mix Design'!$B$6,IF(C43="DBM",J43*'Mix Design'!$C$6,""))</f>
        <v/>
      </c>
      <c r="N43" s="16" t="str">
        <f>IF(C43="BC",J43*'Mix Design'!$B$7,IF(C43="DBM",J43*'Mix Design'!$C$7,""))</f>
        <v/>
      </c>
      <c r="O43" s="16" t="str">
        <f>IF(C43="BC",J43*'Mix Design'!$B$8,IF(C43="DBM",J43*'Mix Design'!$C$8,""))</f>
        <v/>
      </c>
      <c r="P43" s="16" t="str">
        <f>IF(C43="BC",J43*'Mix Design'!$B$9,IF(C43="DBM",J43*'Mix Design'!$C$9,""))</f>
        <v/>
      </c>
      <c r="Q43" s="16" t="e">
        <f>'Job Planner'!P43</f>
        <v>#VALUE!</v>
      </c>
      <c r="R43" s="16" t="e">
        <f>'Job Planner'!Q43</f>
        <v>#VALUE!</v>
      </c>
      <c r="S43" s="16" t="e">
        <f>'Job Planner'!S43</f>
        <v>#VALUE!</v>
      </c>
      <c r="T43" s="16" t="e">
        <f>'Job Planner'!Z43</f>
        <v>#VALUE!</v>
      </c>
      <c r="U43" s="16" t="e">
        <f>'Job Planner'!AB43</f>
        <v>#VALUE!</v>
      </c>
      <c r="V43" s="16">
        <f>'Job Planner'!AE43</f>
        <v>0</v>
      </c>
      <c r="W43" s="16">
        <f>'Job Planner'!AF43</f>
        <v>0</v>
      </c>
      <c r="X43" s="16" t="e">
        <f>'Job Planner'!AG43</f>
        <v>#VALUE!</v>
      </c>
      <c r="AB43" t="str">
        <f t="shared" si="0"/>
        <v/>
      </c>
      <c r="AC43" t="str">
        <f t="shared" si="1"/>
        <v/>
      </c>
      <c r="AD43" t="str">
        <f t="shared" si="2"/>
        <v/>
      </c>
      <c r="AE43" t="str">
        <f t="shared" si="3"/>
        <v/>
      </c>
      <c r="AF43" t="str">
        <f t="shared" si="4"/>
        <v/>
      </c>
    </row>
    <row r="44" spans="1:32" x14ac:dyDescent="0.2">
      <c r="A44" s="5">
        <f>'Job Planner'!A44</f>
        <v>0</v>
      </c>
      <c r="B44" s="14">
        <f>'Job Planner'!B44</f>
        <v>0</v>
      </c>
      <c r="C44" s="13">
        <f>'Job Planner'!C44</f>
        <v>0</v>
      </c>
      <c r="D44" s="14">
        <f>'Job Planner'!D44</f>
        <v>0</v>
      </c>
      <c r="E44" s="13" t="str">
        <f>IF('Job Planner'!D44="GEOMETRY",'Job Planner'!E44,'Job Planner'!K44)</f>
        <v/>
      </c>
      <c r="F44" s="16">
        <f>'Job Planner'!F44</f>
        <v>0</v>
      </c>
      <c r="G44" s="16">
        <f>'Job Planner'!G44</f>
        <v>0</v>
      </c>
      <c r="H44" s="16" t="str">
        <f>'Job Planner'!I44</f>
        <v/>
      </c>
      <c r="I44" s="16" t="str">
        <f>'Job Planner'!J44</f>
        <v/>
      </c>
      <c r="J44" s="16" t="e">
        <f>'Job Planner'!N44</f>
        <v>#VALUE!</v>
      </c>
      <c r="K44" s="16" t="str">
        <f>IF(C44="BC",J44*'Mix Design'!$B$4,IF(C44="DBM",J44*'Mix Design'!$C$4,""))</f>
        <v/>
      </c>
      <c r="L44" s="16" t="str">
        <f>IF(C44="BC",J44*'Mix Design'!$B$5,IF(C44="DBM",J44*'Mix Design'!$C$5,""))</f>
        <v/>
      </c>
      <c r="M44" s="16" t="str">
        <f>IF(C44="BC",J44*'Mix Design'!$B$6,IF(C44="DBM",J44*'Mix Design'!$C$6,""))</f>
        <v/>
      </c>
      <c r="N44" s="16" t="str">
        <f>IF(C44="BC",J44*'Mix Design'!$B$7,IF(C44="DBM",J44*'Mix Design'!$C$7,""))</f>
        <v/>
      </c>
      <c r="O44" s="16" t="str">
        <f>IF(C44="BC",J44*'Mix Design'!$B$8,IF(C44="DBM",J44*'Mix Design'!$C$8,""))</f>
        <v/>
      </c>
      <c r="P44" s="16" t="str">
        <f>IF(C44="BC",J44*'Mix Design'!$B$9,IF(C44="DBM",J44*'Mix Design'!$C$9,""))</f>
        <v/>
      </c>
      <c r="Q44" s="16" t="e">
        <f>'Job Planner'!P44</f>
        <v>#VALUE!</v>
      </c>
      <c r="R44" s="16" t="e">
        <f>'Job Planner'!Q44</f>
        <v>#VALUE!</v>
      </c>
      <c r="S44" s="16" t="e">
        <f>'Job Planner'!S44</f>
        <v>#VALUE!</v>
      </c>
      <c r="T44" s="16" t="e">
        <f>'Job Planner'!Z44</f>
        <v>#VALUE!</v>
      </c>
      <c r="U44" s="16" t="e">
        <f>'Job Planner'!AB44</f>
        <v>#VALUE!</v>
      </c>
      <c r="V44" s="16">
        <f>'Job Planner'!AE44</f>
        <v>0</v>
      </c>
      <c r="W44" s="16">
        <f>'Job Planner'!AF44</f>
        <v>0</v>
      </c>
      <c r="X44" s="16" t="e">
        <f>'Job Planner'!AG44</f>
        <v>#VALUE!</v>
      </c>
      <c r="AB44" t="str">
        <f t="shared" si="0"/>
        <v/>
      </c>
      <c r="AC44" t="str">
        <f t="shared" si="1"/>
        <v/>
      </c>
      <c r="AD44" t="str">
        <f t="shared" si="2"/>
        <v/>
      </c>
      <c r="AE44" t="str">
        <f t="shared" si="3"/>
        <v/>
      </c>
      <c r="AF44" t="str">
        <f t="shared" si="4"/>
        <v/>
      </c>
    </row>
    <row r="45" spans="1:32" x14ac:dyDescent="0.2">
      <c r="A45" s="5">
        <f>'Job Planner'!A45</f>
        <v>0</v>
      </c>
      <c r="B45" s="14">
        <f>'Job Planner'!B45</f>
        <v>0</v>
      </c>
      <c r="C45" s="13">
        <f>'Job Planner'!C45</f>
        <v>0</v>
      </c>
      <c r="D45" s="14">
        <f>'Job Planner'!D45</f>
        <v>0</v>
      </c>
      <c r="E45" s="13" t="str">
        <f>IF('Job Planner'!D45="GEOMETRY",'Job Planner'!E45,'Job Planner'!K45)</f>
        <v/>
      </c>
      <c r="F45" s="16">
        <f>'Job Planner'!F45</f>
        <v>0</v>
      </c>
      <c r="G45" s="16">
        <f>'Job Planner'!G45</f>
        <v>0</v>
      </c>
      <c r="H45" s="16" t="str">
        <f>'Job Planner'!I45</f>
        <v/>
      </c>
      <c r="I45" s="16" t="str">
        <f>'Job Planner'!J45</f>
        <v/>
      </c>
      <c r="J45" s="16" t="e">
        <f>'Job Planner'!N45</f>
        <v>#VALUE!</v>
      </c>
      <c r="K45" s="16" t="str">
        <f>IF(C45="BC",J45*'Mix Design'!$B$4,IF(C45="DBM",J45*'Mix Design'!$C$4,""))</f>
        <v/>
      </c>
      <c r="L45" s="16" t="str">
        <f>IF(C45="BC",J45*'Mix Design'!$B$5,IF(C45="DBM",J45*'Mix Design'!$C$5,""))</f>
        <v/>
      </c>
      <c r="M45" s="16" t="str">
        <f>IF(C45="BC",J45*'Mix Design'!$B$6,IF(C45="DBM",J45*'Mix Design'!$C$6,""))</f>
        <v/>
      </c>
      <c r="N45" s="16" t="str">
        <f>IF(C45="BC",J45*'Mix Design'!$B$7,IF(C45="DBM",J45*'Mix Design'!$C$7,""))</f>
        <v/>
      </c>
      <c r="O45" s="16" t="str">
        <f>IF(C45="BC",J45*'Mix Design'!$B$8,IF(C45="DBM",J45*'Mix Design'!$C$8,""))</f>
        <v/>
      </c>
      <c r="P45" s="16" t="str">
        <f>IF(C45="BC",J45*'Mix Design'!$B$9,IF(C45="DBM",J45*'Mix Design'!$C$9,""))</f>
        <v/>
      </c>
      <c r="Q45" s="16" t="e">
        <f>'Job Planner'!P45</f>
        <v>#VALUE!</v>
      </c>
      <c r="R45" s="16" t="e">
        <f>'Job Planner'!Q45</f>
        <v>#VALUE!</v>
      </c>
      <c r="S45" s="16" t="e">
        <f>'Job Planner'!S45</f>
        <v>#VALUE!</v>
      </c>
      <c r="T45" s="16" t="e">
        <f>'Job Planner'!Z45</f>
        <v>#VALUE!</v>
      </c>
      <c r="U45" s="16" t="e">
        <f>'Job Planner'!AB45</f>
        <v>#VALUE!</v>
      </c>
      <c r="V45" s="16">
        <f>'Job Planner'!AE45</f>
        <v>0</v>
      </c>
      <c r="W45" s="16">
        <f>'Job Planner'!AF45</f>
        <v>0</v>
      </c>
      <c r="X45" s="16" t="e">
        <f>'Job Planner'!AG45</f>
        <v>#VALUE!</v>
      </c>
    </row>
    <row r="46" spans="1:32" x14ac:dyDescent="0.2">
      <c r="A46" s="5">
        <f>'Job Planner'!A46</f>
        <v>0</v>
      </c>
      <c r="B46" s="14">
        <f>'Job Planner'!B46</f>
        <v>0</v>
      </c>
      <c r="C46" s="13">
        <f>'Job Planner'!C46</f>
        <v>0</v>
      </c>
      <c r="D46" s="14">
        <f>'Job Planner'!D46</f>
        <v>0</v>
      </c>
      <c r="E46" s="13" t="str">
        <f>IF('Job Planner'!D46="GEOMETRY",'Job Planner'!E46,'Job Planner'!K46)</f>
        <v/>
      </c>
      <c r="F46" s="16">
        <f>'Job Planner'!F46</f>
        <v>0</v>
      </c>
      <c r="G46" s="16">
        <f>'Job Planner'!G46</f>
        <v>0</v>
      </c>
      <c r="H46" s="16" t="str">
        <f>'Job Planner'!I46</f>
        <v/>
      </c>
      <c r="I46" s="16" t="str">
        <f>'Job Planner'!J46</f>
        <v/>
      </c>
      <c r="J46" s="16" t="e">
        <f>'Job Planner'!N46</f>
        <v>#VALUE!</v>
      </c>
      <c r="K46" s="16" t="str">
        <f>IF(C46="BC",J46*'Mix Design'!$B$4,IF(C46="DBM",J46*'Mix Design'!$C$4,""))</f>
        <v/>
      </c>
      <c r="L46" s="16" t="str">
        <f>IF(C46="BC",J46*'Mix Design'!$B$5,IF(C46="DBM",J46*'Mix Design'!$C$5,""))</f>
        <v/>
      </c>
      <c r="M46" s="16" t="str">
        <f>IF(C46="BC",J46*'Mix Design'!$B$6,IF(C46="DBM",J46*'Mix Design'!$C$6,""))</f>
        <v/>
      </c>
      <c r="N46" s="16" t="str">
        <f>IF(C46="BC",J46*'Mix Design'!$B$7,IF(C46="DBM",J46*'Mix Design'!$C$7,""))</f>
        <v/>
      </c>
      <c r="O46" s="16" t="str">
        <f>IF(C46="BC",J46*'Mix Design'!$B$8,IF(C46="DBM",J46*'Mix Design'!$C$8,""))</f>
        <v/>
      </c>
      <c r="P46" s="16" t="str">
        <f>IF(C46="BC",J46*'Mix Design'!$B$9,IF(C46="DBM",J46*'Mix Design'!$C$9,""))</f>
        <v/>
      </c>
      <c r="Q46" s="16" t="e">
        <f>'Job Planner'!P46</f>
        <v>#VALUE!</v>
      </c>
      <c r="R46" s="16" t="e">
        <f>'Job Planner'!Q46</f>
        <v>#VALUE!</v>
      </c>
      <c r="S46" s="16" t="e">
        <f>'Job Planner'!S46</f>
        <v>#VALUE!</v>
      </c>
      <c r="T46" s="16" t="e">
        <f>'Job Planner'!Z46</f>
        <v>#VALUE!</v>
      </c>
      <c r="U46" s="16" t="e">
        <f>'Job Planner'!AB46</f>
        <v>#VALUE!</v>
      </c>
      <c r="V46" s="16">
        <f>'Job Planner'!AE46</f>
        <v>0</v>
      </c>
      <c r="W46" s="16">
        <f>'Job Planner'!AF46</f>
        <v>0</v>
      </c>
      <c r="X46" s="16" t="e">
        <f>'Job Planner'!AG46</f>
        <v>#VALUE!</v>
      </c>
    </row>
    <row r="47" spans="1:32" x14ac:dyDescent="0.2">
      <c r="A47" s="5">
        <f>'Job Planner'!A47</f>
        <v>0</v>
      </c>
      <c r="B47" s="14">
        <f>'Job Planner'!B47</f>
        <v>0</v>
      </c>
      <c r="C47" s="13">
        <f>'Job Planner'!C47</f>
        <v>0</v>
      </c>
      <c r="D47" s="14">
        <f>'Job Planner'!D47</f>
        <v>0</v>
      </c>
      <c r="E47" s="13" t="str">
        <f>IF('Job Planner'!D47="GEOMETRY",'Job Planner'!E47,'Job Planner'!K47)</f>
        <v/>
      </c>
      <c r="F47" s="16">
        <f>'Job Planner'!F47</f>
        <v>0</v>
      </c>
      <c r="G47" s="16">
        <f>'Job Planner'!G47</f>
        <v>0</v>
      </c>
      <c r="H47" s="16" t="str">
        <f>'Job Planner'!I47</f>
        <v/>
      </c>
      <c r="I47" s="16" t="str">
        <f>'Job Planner'!J47</f>
        <v/>
      </c>
      <c r="J47" s="16" t="e">
        <f>'Job Planner'!N47</f>
        <v>#VALUE!</v>
      </c>
      <c r="K47" s="16" t="str">
        <f>IF(C47="BC",J47*'Mix Design'!$B$4,IF(C47="DBM",J47*'Mix Design'!$C$4,""))</f>
        <v/>
      </c>
      <c r="L47" s="16" t="str">
        <f>IF(C47="BC",J47*'Mix Design'!$B$5,IF(C47="DBM",J47*'Mix Design'!$C$5,""))</f>
        <v/>
      </c>
      <c r="M47" s="16" t="str">
        <f>IF(C47="BC",J47*'Mix Design'!$B$6,IF(C47="DBM",J47*'Mix Design'!$C$6,""))</f>
        <v/>
      </c>
      <c r="N47" s="16" t="str">
        <f>IF(C47="BC",J47*'Mix Design'!$B$7,IF(C47="DBM",J47*'Mix Design'!$C$7,""))</f>
        <v/>
      </c>
      <c r="O47" s="16" t="str">
        <f>IF(C47="BC",J47*'Mix Design'!$B$8,IF(C47="DBM",J47*'Mix Design'!$C$8,""))</f>
        <v/>
      </c>
      <c r="P47" s="16" t="str">
        <f>IF(C47="BC",J47*'Mix Design'!$B$9,IF(C47="DBM",J47*'Mix Design'!$C$9,""))</f>
        <v/>
      </c>
      <c r="Q47" s="16" t="e">
        <f>'Job Planner'!P47</f>
        <v>#VALUE!</v>
      </c>
      <c r="R47" s="16" t="e">
        <f>'Job Planner'!Q47</f>
        <v>#VALUE!</v>
      </c>
      <c r="S47" s="16" t="e">
        <f>'Job Planner'!S47</f>
        <v>#VALUE!</v>
      </c>
      <c r="T47" s="16" t="e">
        <f>'Job Planner'!Z47</f>
        <v>#VALUE!</v>
      </c>
      <c r="U47" s="16" t="e">
        <f>'Job Planner'!AB47</f>
        <v>#VALUE!</v>
      </c>
      <c r="V47" s="16">
        <f>'Job Planner'!AE47</f>
        <v>0</v>
      </c>
      <c r="W47" s="16">
        <f>'Job Planner'!AF47</f>
        <v>0</v>
      </c>
      <c r="X47" s="16" t="e">
        <f>'Job Planner'!AG47</f>
        <v>#VALUE!</v>
      </c>
    </row>
    <row r="48" spans="1:32" x14ac:dyDescent="0.2">
      <c r="A48" s="5">
        <f>'Job Planner'!A48</f>
        <v>0</v>
      </c>
      <c r="B48" s="14">
        <f>'Job Planner'!B48</f>
        <v>0</v>
      </c>
      <c r="C48" s="13">
        <f>'Job Planner'!C48</f>
        <v>0</v>
      </c>
      <c r="D48" s="14">
        <f>'Job Planner'!D48</f>
        <v>0</v>
      </c>
      <c r="E48" s="13" t="str">
        <f>IF('Job Planner'!D48="GEOMETRY",'Job Planner'!E48,'Job Planner'!K48)</f>
        <v/>
      </c>
      <c r="F48" s="16">
        <f>'Job Planner'!F48</f>
        <v>0</v>
      </c>
      <c r="G48" s="16">
        <f>'Job Planner'!G48</f>
        <v>0</v>
      </c>
      <c r="H48" s="16" t="str">
        <f>'Job Planner'!I48</f>
        <v/>
      </c>
      <c r="I48" s="16" t="str">
        <f>'Job Planner'!J48</f>
        <v/>
      </c>
      <c r="J48" s="16" t="e">
        <f>'Job Planner'!N48</f>
        <v>#VALUE!</v>
      </c>
      <c r="K48" s="16" t="str">
        <f>IF(C48="BC",J48*'Mix Design'!$B$4,IF(C48="DBM",J48*'Mix Design'!$C$4,""))</f>
        <v/>
      </c>
      <c r="L48" s="16" t="str">
        <f>IF(C48="BC",J48*'Mix Design'!$B$5,IF(C48="DBM",J48*'Mix Design'!$C$5,""))</f>
        <v/>
      </c>
      <c r="M48" s="16" t="str">
        <f>IF(C48="BC",J48*'Mix Design'!$B$6,IF(C48="DBM",J48*'Mix Design'!$C$6,""))</f>
        <v/>
      </c>
      <c r="N48" s="16" t="str">
        <f>IF(C48="BC",J48*'Mix Design'!$B$7,IF(C48="DBM",J48*'Mix Design'!$C$7,""))</f>
        <v/>
      </c>
      <c r="O48" s="16" t="str">
        <f>IF(C48="BC",J48*'Mix Design'!$B$8,IF(C48="DBM",J48*'Mix Design'!$C$8,""))</f>
        <v/>
      </c>
      <c r="P48" s="16" t="str">
        <f>IF(C48="BC",J48*'Mix Design'!$B$9,IF(C48="DBM",J48*'Mix Design'!$C$9,""))</f>
        <v/>
      </c>
      <c r="Q48" s="16" t="e">
        <f>'Job Planner'!P48</f>
        <v>#VALUE!</v>
      </c>
      <c r="R48" s="16" t="e">
        <f>'Job Planner'!Q48</f>
        <v>#VALUE!</v>
      </c>
      <c r="S48" s="16" t="e">
        <f>'Job Planner'!S48</f>
        <v>#VALUE!</v>
      </c>
      <c r="T48" s="16" t="e">
        <f>'Job Planner'!Z48</f>
        <v>#VALUE!</v>
      </c>
      <c r="U48" s="16" t="e">
        <f>'Job Planner'!AB48</f>
        <v>#VALUE!</v>
      </c>
      <c r="V48" s="16">
        <f>'Job Planner'!AE48</f>
        <v>0</v>
      </c>
      <c r="W48" s="16">
        <f>'Job Planner'!AF48</f>
        <v>0</v>
      </c>
      <c r="X48" s="16" t="e">
        <f>'Job Planner'!AG48</f>
        <v>#VALUE!</v>
      </c>
    </row>
    <row r="49" spans="1:24" x14ac:dyDescent="0.2">
      <c r="A49" s="5">
        <f>'Job Planner'!A49</f>
        <v>0</v>
      </c>
      <c r="B49" s="14">
        <f>'Job Planner'!B49</f>
        <v>0</v>
      </c>
      <c r="C49" s="13">
        <f>'Job Planner'!C49</f>
        <v>0</v>
      </c>
      <c r="D49" s="14">
        <f>'Job Planner'!D49</f>
        <v>0</v>
      </c>
      <c r="E49" s="13" t="str">
        <f>IF('Job Planner'!D49="GEOMETRY",'Job Planner'!E49,'Job Planner'!K49)</f>
        <v/>
      </c>
      <c r="F49" s="16">
        <f>'Job Planner'!F49</f>
        <v>0</v>
      </c>
      <c r="G49" s="16">
        <f>'Job Planner'!G49</f>
        <v>0</v>
      </c>
      <c r="H49" s="16" t="str">
        <f>'Job Planner'!I49</f>
        <v/>
      </c>
      <c r="I49" s="16" t="str">
        <f>'Job Planner'!J49</f>
        <v/>
      </c>
      <c r="J49" s="16" t="e">
        <f>'Job Planner'!N49</f>
        <v>#VALUE!</v>
      </c>
      <c r="K49" s="16" t="str">
        <f>IF(C49="BC",J49*'Mix Design'!$B$4,IF(C49="DBM",J49*'Mix Design'!$C$4,""))</f>
        <v/>
      </c>
      <c r="L49" s="16" t="str">
        <f>IF(C49="BC",J49*'Mix Design'!$B$5,IF(C49="DBM",J49*'Mix Design'!$C$5,""))</f>
        <v/>
      </c>
      <c r="M49" s="16" t="str">
        <f>IF(C49="BC",J49*'Mix Design'!$B$6,IF(C49="DBM",J49*'Mix Design'!$C$6,""))</f>
        <v/>
      </c>
      <c r="N49" s="16" t="str">
        <f>IF(C49="BC",J49*'Mix Design'!$B$7,IF(C49="DBM",J49*'Mix Design'!$C$7,""))</f>
        <v/>
      </c>
      <c r="O49" s="16" t="str">
        <f>IF(C49="BC",J49*'Mix Design'!$B$8,IF(C49="DBM",J49*'Mix Design'!$C$8,""))</f>
        <v/>
      </c>
      <c r="P49" s="16" t="str">
        <f>IF(C49="BC",J49*'Mix Design'!$B$9,IF(C49="DBM",J49*'Mix Design'!$C$9,""))</f>
        <v/>
      </c>
      <c r="Q49" s="16" t="e">
        <f>'Job Planner'!P49</f>
        <v>#VALUE!</v>
      </c>
      <c r="R49" s="16" t="e">
        <f>'Job Planner'!Q49</f>
        <v>#VALUE!</v>
      </c>
      <c r="S49" s="16" t="e">
        <f>'Job Planner'!S49</f>
        <v>#VALUE!</v>
      </c>
      <c r="T49" s="16" t="e">
        <f>'Job Planner'!Z49</f>
        <v>#VALUE!</v>
      </c>
      <c r="U49" s="16" t="e">
        <f>'Job Planner'!AB49</f>
        <v>#VALUE!</v>
      </c>
      <c r="V49" s="16">
        <f>'Job Planner'!AE49</f>
        <v>0</v>
      </c>
      <c r="W49" s="16">
        <f>'Job Planner'!AF49</f>
        <v>0</v>
      </c>
      <c r="X49" s="16" t="e">
        <f>'Job Planner'!AG49</f>
        <v>#VALUE!</v>
      </c>
    </row>
    <row r="50" spans="1:24" x14ac:dyDescent="0.2">
      <c r="A50" s="5">
        <f>'Job Planner'!A50</f>
        <v>0</v>
      </c>
      <c r="B50" s="14">
        <f>'Job Planner'!B50</f>
        <v>0</v>
      </c>
      <c r="C50" s="13">
        <f>'Job Planner'!C50</f>
        <v>0</v>
      </c>
      <c r="D50" s="14">
        <f>'Job Planner'!D50</f>
        <v>0</v>
      </c>
      <c r="E50" s="13" t="str">
        <f>IF('Job Planner'!D50="GEOMETRY",'Job Planner'!E50,'Job Planner'!K50)</f>
        <v/>
      </c>
      <c r="F50" s="16">
        <f>'Job Planner'!F50</f>
        <v>0</v>
      </c>
      <c r="G50" s="16">
        <f>'Job Planner'!G50</f>
        <v>0</v>
      </c>
      <c r="H50" s="16" t="str">
        <f>'Job Planner'!I50</f>
        <v/>
      </c>
      <c r="I50" s="16" t="str">
        <f>'Job Planner'!J50</f>
        <v/>
      </c>
      <c r="J50" s="16" t="e">
        <f>'Job Planner'!N50</f>
        <v>#VALUE!</v>
      </c>
      <c r="K50" s="16" t="str">
        <f>IF(C50="BC",J50*'Mix Design'!$B$4,IF(C50="DBM",J50*'Mix Design'!$C$4,""))</f>
        <v/>
      </c>
      <c r="L50" s="16" t="str">
        <f>IF(C50="BC",J50*'Mix Design'!$B$5,IF(C50="DBM",J50*'Mix Design'!$C$5,""))</f>
        <v/>
      </c>
      <c r="M50" s="16" t="str">
        <f>IF(C50="BC",J50*'Mix Design'!$B$6,IF(C50="DBM",J50*'Mix Design'!$C$6,""))</f>
        <v/>
      </c>
      <c r="N50" s="16" t="str">
        <f>IF(C50="BC",J50*'Mix Design'!$B$7,IF(C50="DBM",J50*'Mix Design'!$C$7,""))</f>
        <v/>
      </c>
      <c r="O50" s="16" t="str">
        <f>IF(C50="BC",J50*'Mix Design'!$B$8,IF(C50="DBM",J50*'Mix Design'!$C$8,""))</f>
        <v/>
      </c>
      <c r="P50" s="16" t="str">
        <f>IF(C50="BC",J50*'Mix Design'!$B$9,IF(C50="DBM",J50*'Mix Design'!$C$9,""))</f>
        <v/>
      </c>
      <c r="Q50" s="16" t="e">
        <f>'Job Planner'!P50</f>
        <v>#VALUE!</v>
      </c>
      <c r="R50" s="16" t="e">
        <f>'Job Planner'!Q50</f>
        <v>#VALUE!</v>
      </c>
      <c r="S50" s="16" t="e">
        <f>'Job Planner'!S50</f>
        <v>#VALUE!</v>
      </c>
      <c r="T50" s="16" t="e">
        <f>'Job Planner'!Z50</f>
        <v>#VALUE!</v>
      </c>
      <c r="U50" s="16" t="e">
        <f>'Job Planner'!AB50</f>
        <v>#VALUE!</v>
      </c>
      <c r="V50" s="16">
        <f>'Job Planner'!AE50</f>
        <v>0</v>
      </c>
      <c r="W50" s="16">
        <f>'Job Planner'!AF50</f>
        <v>0</v>
      </c>
      <c r="X50" s="16" t="e">
        <f>'Job Planner'!AG50</f>
        <v>#VALUE!</v>
      </c>
    </row>
    <row r="51" spans="1:24" x14ac:dyDescent="0.2">
      <c r="A51" s="5">
        <f>'Job Planner'!A51</f>
        <v>0</v>
      </c>
      <c r="B51" s="14">
        <f>'Job Planner'!B51</f>
        <v>0</v>
      </c>
      <c r="C51" s="13">
        <f>'Job Planner'!C51</f>
        <v>0</v>
      </c>
      <c r="D51" s="14">
        <f>'Job Planner'!D51</f>
        <v>0</v>
      </c>
      <c r="E51" s="13" t="str">
        <f>IF('Job Planner'!D51="GEOMETRY",'Job Planner'!E51,'Job Planner'!K51)</f>
        <v/>
      </c>
      <c r="F51" s="16">
        <f>'Job Planner'!F51</f>
        <v>0</v>
      </c>
      <c r="G51" s="16">
        <f>'Job Planner'!G51</f>
        <v>0</v>
      </c>
      <c r="H51" s="16" t="str">
        <f>'Job Planner'!I51</f>
        <v/>
      </c>
      <c r="I51" s="16" t="str">
        <f>'Job Planner'!J51</f>
        <v/>
      </c>
      <c r="J51" s="16" t="e">
        <f>'Job Planner'!N51</f>
        <v>#VALUE!</v>
      </c>
      <c r="K51" s="16" t="str">
        <f>IF(C51="BC",J51*'Mix Design'!$B$4,IF(C51="DBM",J51*'Mix Design'!$C$4,""))</f>
        <v/>
      </c>
      <c r="L51" s="16" t="str">
        <f>IF(C51="BC",J51*'Mix Design'!$B$5,IF(C51="DBM",J51*'Mix Design'!$C$5,""))</f>
        <v/>
      </c>
      <c r="M51" s="16" t="str">
        <f>IF(C51="BC",J51*'Mix Design'!$B$6,IF(C51="DBM",J51*'Mix Design'!$C$6,""))</f>
        <v/>
      </c>
      <c r="N51" s="16" t="str">
        <f>IF(C51="BC",J51*'Mix Design'!$B$7,IF(C51="DBM",J51*'Mix Design'!$C$7,""))</f>
        <v/>
      </c>
      <c r="O51" s="16" t="str">
        <f>IF(C51="BC",J51*'Mix Design'!$B$8,IF(C51="DBM",J51*'Mix Design'!$C$8,""))</f>
        <v/>
      </c>
      <c r="P51" s="16" t="str">
        <f>IF(C51="BC",J51*'Mix Design'!$B$9,IF(C51="DBM",J51*'Mix Design'!$C$9,""))</f>
        <v/>
      </c>
      <c r="Q51" s="16" t="e">
        <f>'Job Planner'!P51</f>
        <v>#VALUE!</v>
      </c>
      <c r="R51" s="16" t="e">
        <f>'Job Planner'!Q51</f>
        <v>#VALUE!</v>
      </c>
      <c r="S51" s="16" t="e">
        <f>'Job Planner'!S51</f>
        <v>#VALUE!</v>
      </c>
      <c r="T51" s="16" t="e">
        <f>'Job Planner'!Z51</f>
        <v>#VALUE!</v>
      </c>
      <c r="U51" s="16" t="e">
        <f>'Job Planner'!AB51</f>
        <v>#VALUE!</v>
      </c>
      <c r="V51" s="16">
        <f>'Job Planner'!AE51</f>
        <v>0</v>
      </c>
      <c r="W51" s="16">
        <f>'Job Planner'!AF51</f>
        <v>0</v>
      </c>
      <c r="X51" s="16" t="e">
        <f>'Job Planner'!AG51</f>
        <v>#VALUE!</v>
      </c>
    </row>
    <row r="52" spans="1:24" x14ac:dyDescent="0.2">
      <c r="A52" s="5">
        <f>'Job Planner'!A52</f>
        <v>0</v>
      </c>
      <c r="B52" s="14">
        <f>'Job Planner'!B52</f>
        <v>0</v>
      </c>
      <c r="C52" s="13">
        <f>'Job Planner'!C52</f>
        <v>0</v>
      </c>
      <c r="D52" s="14">
        <f>'Job Planner'!D52</f>
        <v>0</v>
      </c>
      <c r="E52" s="13" t="str">
        <f>IF('Job Planner'!D52="GEOMETRY",'Job Planner'!E52,'Job Planner'!K52)</f>
        <v/>
      </c>
      <c r="F52" s="16">
        <f>'Job Planner'!F52</f>
        <v>0</v>
      </c>
      <c r="G52" s="16">
        <f>'Job Planner'!G52</f>
        <v>0</v>
      </c>
      <c r="H52" s="16" t="str">
        <f>'Job Planner'!I52</f>
        <v/>
      </c>
      <c r="I52" s="16" t="str">
        <f>'Job Planner'!J52</f>
        <v/>
      </c>
      <c r="J52" s="16" t="e">
        <f>'Job Planner'!N52</f>
        <v>#VALUE!</v>
      </c>
      <c r="K52" s="16" t="str">
        <f>IF(C52="BC",J52*'Mix Design'!$B$4,IF(C52="DBM",J52*'Mix Design'!$C$4,""))</f>
        <v/>
      </c>
      <c r="L52" s="16" t="str">
        <f>IF(C52="BC",J52*'Mix Design'!$B$5,IF(C52="DBM",J52*'Mix Design'!$C$5,""))</f>
        <v/>
      </c>
      <c r="M52" s="16" t="str">
        <f>IF(C52="BC",J52*'Mix Design'!$B$6,IF(C52="DBM",J52*'Mix Design'!$C$6,""))</f>
        <v/>
      </c>
      <c r="N52" s="16" t="str">
        <f>IF(C52="BC",J52*'Mix Design'!$B$7,IF(C52="DBM",J52*'Mix Design'!$C$7,""))</f>
        <v/>
      </c>
      <c r="O52" s="16" t="str">
        <f>IF(C52="BC",J52*'Mix Design'!$B$8,IF(C52="DBM",J52*'Mix Design'!$C$8,""))</f>
        <v/>
      </c>
      <c r="P52" s="16" t="str">
        <f>IF(C52="BC",J52*'Mix Design'!$B$9,IF(C52="DBM",J52*'Mix Design'!$C$9,""))</f>
        <v/>
      </c>
      <c r="Q52" s="16" t="e">
        <f>'Job Planner'!P52</f>
        <v>#VALUE!</v>
      </c>
      <c r="R52" s="16" t="e">
        <f>'Job Planner'!Q52</f>
        <v>#VALUE!</v>
      </c>
      <c r="S52" s="16" t="e">
        <f>'Job Planner'!S52</f>
        <v>#VALUE!</v>
      </c>
      <c r="T52" s="16" t="e">
        <f>'Job Planner'!Z52</f>
        <v>#VALUE!</v>
      </c>
      <c r="U52" s="16" t="e">
        <f>'Job Planner'!AB52</f>
        <v>#VALUE!</v>
      </c>
      <c r="V52" s="16">
        <f>'Job Planner'!AE52</f>
        <v>0</v>
      </c>
      <c r="W52" s="16">
        <f>'Job Planner'!AF52</f>
        <v>0</v>
      </c>
      <c r="X52" s="16" t="e">
        <f>'Job Planner'!AG52</f>
        <v>#VALUE!</v>
      </c>
    </row>
    <row r="53" spans="1:24" x14ac:dyDescent="0.2">
      <c r="A53" s="5">
        <f>'Job Planner'!A53</f>
        <v>0</v>
      </c>
      <c r="B53" s="14">
        <f>'Job Planner'!B53</f>
        <v>0</v>
      </c>
      <c r="C53" s="13">
        <f>'Job Planner'!C53</f>
        <v>0</v>
      </c>
      <c r="D53" s="14">
        <f>'Job Planner'!D53</f>
        <v>0</v>
      </c>
      <c r="E53" s="13" t="str">
        <f>IF('Job Planner'!D53="GEOMETRY",'Job Planner'!E53,'Job Planner'!K53)</f>
        <v/>
      </c>
      <c r="F53" s="16">
        <f>'Job Planner'!F53</f>
        <v>0</v>
      </c>
      <c r="G53" s="16">
        <f>'Job Planner'!G53</f>
        <v>0</v>
      </c>
      <c r="H53" s="16" t="str">
        <f>'Job Planner'!I53</f>
        <v/>
      </c>
      <c r="I53" s="16" t="str">
        <f>'Job Planner'!J53</f>
        <v/>
      </c>
      <c r="J53" s="16" t="e">
        <f>'Job Planner'!N53</f>
        <v>#VALUE!</v>
      </c>
      <c r="K53" s="16" t="str">
        <f>IF(C53="BC",J53*'Mix Design'!$B$4,IF(C53="DBM",J53*'Mix Design'!$C$4,""))</f>
        <v/>
      </c>
      <c r="L53" s="16" t="str">
        <f>IF(C53="BC",J53*'Mix Design'!$B$5,IF(C53="DBM",J53*'Mix Design'!$C$5,""))</f>
        <v/>
      </c>
      <c r="M53" s="16" t="str">
        <f>IF(C53="BC",J53*'Mix Design'!$B$6,IF(C53="DBM",J53*'Mix Design'!$C$6,""))</f>
        <v/>
      </c>
      <c r="N53" s="16" t="str">
        <f>IF(C53="BC",J53*'Mix Design'!$B$7,IF(C53="DBM",J53*'Mix Design'!$C$7,""))</f>
        <v/>
      </c>
      <c r="O53" s="16" t="str">
        <f>IF(C53="BC",J53*'Mix Design'!$B$8,IF(C53="DBM",J53*'Mix Design'!$C$8,""))</f>
        <v/>
      </c>
      <c r="P53" s="16" t="str">
        <f>IF(C53="BC",J53*'Mix Design'!$B$9,IF(C53="DBM",J53*'Mix Design'!$C$9,""))</f>
        <v/>
      </c>
      <c r="Q53" s="16" t="e">
        <f>'Job Planner'!P53</f>
        <v>#VALUE!</v>
      </c>
      <c r="R53" s="16" t="e">
        <f>'Job Planner'!Q53</f>
        <v>#VALUE!</v>
      </c>
      <c r="S53" s="16" t="e">
        <f>'Job Planner'!S53</f>
        <v>#VALUE!</v>
      </c>
      <c r="T53" s="16" t="e">
        <f>'Job Planner'!Z53</f>
        <v>#VALUE!</v>
      </c>
      <c r="U53" s="16" t="e">
        <f>'Job Planner'!AB53</f>
        <v>#VALUE!</v>
      </c>
      <c r="V53" s="16">
        <f>'Job Planner'!AE53</f>
        <v>0</v>
      </c>
      <c r="W53" s="16">
        <f>'Job Planner'!AF53</f>
        <v>0</v>
      </c>
      <c r="X53" s="16" t="e">
        <f>'Job Planner'!AG53</f>
        <v>#VALUE!</v>
      </c>
    </row>
    <row r="54" spans="1:24" x14ac:dyDescent="0.2">
      <c r="A54" s="5">
        <f>'Job Planner'!A54</f>
        <v>0</v>
      </c>
      <c r="B54" s="14">
        <f>'Job Planner'!B54</f>
        <v>0</v>
      </c>
      <c r="C54" s="13">
        <f>'Job Planner'!C54</f>
        <v>0</v>
      </c>
      <c r="D54" s="14">
        <f>'Job Planner'!D54</f>
        <v>0</v>
      </c>
      <c r="E54" s="13" t="str">
        <f>IF('Job Planner'!D54="GEOMETRY",'Job Planner'!E54,'Job Planner'!K54)</f>
        <v/>
      </c>
      <c r="F54" s="16">
        <f>'Job Planner'!F54</f>
        <v>0</v>
      </c>
      <c r="G54" s="16">
        <f>'Job Planner'!G54</f>
        <v>0</v>
      </c>
      <c r="H54" s="16" t="str">
        <f>'Job Planner'!I54</f>
        <v/>
      </c>
      <c r="I54" s="16" t="str">
        <f>'Job Planner'!J54</f>
        <v/>
      </c>
      <c r="J54" s="16" t="e">
        <f>'Job Planner'!N54</f>
        <v>#VALUE!</v>
      </c>
      <c r="K54" s="16" t="str">
        <f>IF(C54="BC",J54*'Mix Design'!$B$4,IF(C54="DBM",J54*'Mix Design'!$C$4,""))</f>
        <v/>
      </c>
      <c r="L54" s="16" t="str">
        <f>IF(C54="BC",J54*'Mix Design'!$B$5,IF(C54="DBM",J54*'Mix Design'!$C$5,""))</f>
        <v/>
      </c>
      <c r="M54" s="16" t="str">
        <f>IF(C54="BC",J54*'Mix Design'!$B$6,IF(C54="DBM",J54*'Mix Design'!$C$6,""))</f>
        <v/>
      </c>
      <c r="N54" s="16" t="str">
        <f>IF(C54="BC",J54*'Mix Design'!$B$7,IF(C54="DBM",J54*'Mix Design'!$C$7,""))</f>
        <v/>
      </c>
      <c r="O54" s="16" t="str">
        <f>IF(C54="BC",J54*'Mix Design'!$B$8,IF(C54="DBM",J54*'Mix Design'!$C$8,""))</f>
        <v/>
      </c>
      <c r="P54" s="16" t="str">
        <f>IF(C54="BC",J54*'Mix Design'!$B$9,IF(C54="DBM",J54*'Mix Design'!$C$9,""))</f>
        <v/>
      </c>
      <c r="Q54" s="16" t="e">
        <f>'Job Planner'!P54</f>
        <v>#VALUE!</v>
      </c>
      <c r="R54" s="16" t="e">
        <f>'Job Planner'!Q54</f>
        <v>#VALUE!</v>
      </c>
      <c r="S54" s="16" t="e">
        <f>'Job Planner'!S54</f>
        <v>#VALUE!</v>
      </c>
      <c r="T54" s="16" t="e">
        <f>'Job Planner'!Z54</f>
        <v>#VALUE!</v>
      </c>
      <c r="U54" s="16" t="e">
        <f>'Job Planner'!AB54</f>
        <v>#VALUE!</v>
      </c>
      <c r="V54" s="16">
        <f>'Job Planner'!AE54</f>
        <v>0</v>
      </c>
      <c r="W54" s="16">
        <f>'Job Planner'!AF54</f>
        <v>0</v>
      </c>
      <c r="X54" s="16" t="e">
        <f>'Job Planner'!AG54</f>
        <v>#VALUE!</v>
      </c>
    </row>
    <row r="55" spans="1:24" x14ac:dyDescent="0.2">
      <c r="A55" s="5">
        <f>'Job Planner'!A55</f>
        <v>0</v>
      </c>
      <c r="B55" s="14">
        <f>'Job Planner'!B55</f>
        <v>0</v>
      </c>
      <c r="C55" s="13">
        <f>'Job Planner'!C55</f>
        <v>0</v>
      </c>
      <c r="D55" s="14">
        <f>'Job Planner'!D55</f>
        <v>0</v>
      </c>
      <c r="E55" s="13" t="str">
        <f>IF('Job Planner'!D55="GEOMETRY",'Job Planner'!E55,'Job Planner'!K55)</f>
        <v/>
      </c>
      <c r="F55" s="16">
        <f>'Job Planner'!F55</f>
        <v>0</v>
      </c>
      <c r="G55" s="16">
        <f>'Job Planner'!G55</f>
        <v>0</v>
      </c>
      <c r="H55" s="16" t="str">
        <f>'Job Planner'!I55</f>
        <v/>
      </c>
      <c r="I55" s="16" t="str">
        <f>'Job Planner'!J55</f>
        <v/>
      </c>
      <c r="J55" s="16" t="e">
        <f>'Job Planner'!N55</f>
        <v>#VALUE!</v>
      </c>
      <c r="K55" s="16" t="str">
        <f>IF(C55="BC",J55*'Mix Design'!$B$4,IF(C55="DBM",J55*'Mix Design'!$C$4,""))</f>
        <v/>
      </c>
      <c r="L55" s="16" t="str">
        <f>IF(C55="BC",J55*'Mix Design'!$B$5,IF(C55="DBM",J55*'Mix Design'!$C$5,""))</f>
        <v/>
      </c>
      <c r="M55" s="16" t="str">
        <f>IF(C55="BC",J55*'Mix Design'!$B$6,IF(C55="DBM",J55*'Mix Design'!$C$6,""))</f>
        <v/>
      </c>
      <c r="N55" s="16" t="str">
        <f>IF(C55="BC",J55*'Mix Design'!$B$7,IF(C55="DBM",J55*'Mix Design'!$C$7,""))</f>
        <v/>
      </c>
      <c r="O55" s="16" t="str">
        <f>IF(C55="BC",J55*'Mix Design'!$B$8,IF(C55="DBM",J55*'Mix Design'!$C$8,""))</f>
        <v/>
      </c>
      <c r="P55" s="16" t="str">
        <f>IF(C55="BC",J55*'Mix Design'!$B$9,IF(C55="DBM",J55*'Mix Design'!$C$9,""))</f>
        <v/>
      </c>
      <c r="Q55" s="16" t="e">
        <f>'Job Planner'!P55</f>
        <v>#VALUE!</v>
      </c>
      <c r="R55" s="16" t="e">
        <f>'Job Planner'!Q55</f>
        <v>#VALUE!</v>
      </c>
      <c r="S55" s="16" t="e">
        <f>'Job Planner'!S55</f>
        <v>#VALUE!</v>
      </c>
      <c r="T55" s="16" t="e">
        <f>'Job Planner'!Z55</f>
        <v>#VALUE!</v>
      </c>
      <c r="U55" s="16" t="e">
        <f>'Job Planner'!AB55</f>
        <v>#VALUE!</v>
      </c>
      <c r="V55" s="16">
        <f>'Job Planner'!AE55</f>
        <v>0</v>
      </c>
      <c r="W55" s="16">
        <f>'Job Planner'!AF55</f>
        <v>0</v>
      </c>
      <c r="X55" s="16" t="e">
        <f>'Job Planner'!AG55</f>
        <v>#VALUE!</v>
      </c>
    </row>
    <row r="56" spans="1:24" x14ac:dyDescent="0.2">
      <c r="A56" s="5">
        <f>'Job Planner'!A56</f>
        <v>0</v>
      </c>
      <c r="B56" s="14">
        <f>'Job Planner'!B56</f>
        <v>0</v>
      </c>
      <c r="C56" s="13">
        <f>'Job Planner'!C56</f>
        <v>0</v>
      </c>
      <c r="D56" s="14">
        <f>'Job Planner'!D56</f>
        <v>0</v>
      </c>
      <c r="E56" s="13" t="str">
        <f>IF('Job Planner'!D56="GEOMETRY",'Job Planner'!E56,'Job Planner'!K56)</f>
        <v/>
      </c>
      <c r="F56" s="16">
        <f>'Job Planner'!F56</f>
        <v>0</v>
      </c>
      <c r="G56" s="16">
        <f>'Job Planner'!G56</f>
        <v>0</v>
      </c>
      <c r="H56" s="16" t="str">
        <f>'Job Planner'!I56</f>
        <v/>
      </c>
      <c r="I56" s="16" t="str">
        <f>'Job Planner'!J56</f>
        <v/>
      </c>
      <c r="J56" s="16" t="e">
        <f>'Job Planner'!N56</f>
        <v>#VALUE!</v>
      </c>
      <c r="K56" s="16" t="str">
        <f>IF(C56="BC",J56*'Mix Design'!$B$4,IF(C56="DBM",J56*'Mix Design'!$C$4,""))</f>
        <v/>
      </c>
      <c r="L56" s="16" t="str">
        <f>IF(C56="BC",J56*'Mix Design'!$B$5,IF(C56="DBM",J56*'Mix Design'!$C$5,""))</f>
        <v/>
      </c>
      <c r="M56" s="16" t="str">
        <f>IF(C56="BC",J56*'Mix Design'!$B$6,IF(C56="DBM",J56*'Mix Design'!$C$6,""))</f>
        <v/>
      </c>
      <c r="N56" s="16" t="str">
        <f>IF(C56="BC",J56*'Mix Design'!$B$7,IF(C56="DBM",J56*'Mix Design'!$C$7,""))</f>
        <v/>
      </c>
      <c r="O56" s="16" t="str">
        <f>IF(C56="BC",J56*'Mix Design'!$B$8,IF(C56="DBM",J56*'Mix Design'!$C$8,""))</f>
        <v/>
      </c>
      <c r="P56" s="16" t="str">
        <f>IF(C56="BC",J56*'Mix Design'!$B$9,IF(C56="DBM",J56*'Mix Design'!$C$9,""))</f>
        <v/>
      </c>
      <c r="Q56" s="16" t="e">
        <f>'Job Planner'!P56</f>
        <v>#VALUE!</v>
      </c>
      <c r="R56" s="16" t="e">
        <f>'Job Planner'!Q56</f>
        <v>#VALUE!</v>
      </c>
      <c r="S56" s="16" t="e">
        <f>'Job Planner'!S56</f>
        <v>#VALUE!</v>
      </c>
      <c r="T56" s="16" t="e">
        <f>'Job Planner'!Z56</f>
        <v>#VALUE!</v>
      </c>
      <c r="U56" s="16" t="e">
        <f>'Job Planner'!AB56</f>
        <v>#VALUE!</v>
      </c>
      <c r="V56" s="16">
        <f>'Job Planner'!AE56</f>
        <v>0</v>
      </c>
      <c r="W56" s="16">
        <f>'Job Planner'!AF56</f>
        <v>0</v>
      </c>
      <c r="X56" s="16" t="e">
        <f>'Job Planner'!AG56</f>
        <v>#VALUE!</v>
      </c>
    </row>
    <row r="57" spans="1:24" x14ac:dyDescent="0.2">
      <c r="A57" s="5">
        <f>'Job Planner'!A57</f>
        <v>0</v>
      </c>
      <c r="B57" s="14">
        <f>'Job Planner'!B57</f>
        <v>0</v>
      </c>
      <c r="C57" s="13">
        <f>'Job Planner'!C57</f>
        <v>0</v>
      </c>
      <c r="D57" s="14">
        <f>'Job Planner'!D57</f>
        <v>0</v>
      </c>
      <c r="E57" s="13" t="str">
        <f>IF('Job Planner'!D57="GEOMETRY",'Job Planner'!E57,'Job Planner'!K57)</f>
        <v/>
      </c>
      <c r="F57" s="16">
        <f>'Job Planner'!F57</f>
        <v>0</v>
      </c>
      <c r="G57" s="16">
        <f>'Job Planner'!G57</f>
        <v>0</v>
      </c>
      <c r="H57" s="16" t="str">
        <f>'Job Planner'!I57</f>
        <v/>
      </c>
      <c r="I57" s="16" t="str">
        <f>'Job Planner'!J57</f>
        <v/>
      </c>
      <c r="J57" s="16" t="e">
        <f>'Job Planner'!N57</f>
        <v>#VALUE!</v>
      </c>
      <c r="K57" s="16" t="str">
        <f>IF(C57="BC",J57*'Mix Design'!$B$4,IF(C57="DBM",J57*'Mix Design'!$C$4,""))</f>
        <v/>
      </c>
      <c r="L57" s="16" t="str">
        <f>IF(C57="BC",J57*'Mix Design'!$B$5,IF(C57="DBM",J57*'Mix Design'!$C$5,""))</f>
        <v/>
      </c>
      <c r="M57" s="16" t="str">
        <f>IF(C57="BC",J57*'Mix Design'!$B$6,IF(C57="DBM",J57*'Mix Design'!$C$6,""))</f>
        <v/>
      </c>
      <c r="N57" s="16" t="str">
        <f>IF(C57="BC",J57*'Mix Design'!$B$7,IF(C57="DBM",J57*'Mix Design'!$C$7,""))</f>
        <v/>
      </c>
      <c r="O57" s="16" t="str">
        <f>IF(C57="BC",J57*'Mix Design'!$B$8,IF(C57="DBM",J57*'Mix Design'!$C$8,""))</f>
        <v/>
      </c>
      <c r="P57" s="16" t="str">
        <f>IF(C57="BC",J57*'Mix Design'!$B$9,IF(C57="DBM",J57*'Mix Design'!$C$9,""))</f>
        <v/>
      </c>
      <c r="Q57" s="16" t="e">
        <f>'Job Planner'!P57</f>
        <v>#VALUE!</v>
      </c>
      <c r="R57" s="16" t="e">
        <f>'Job Planner'!Q57</f>
        <v>#VALUE!</v>
      </c>
      <c r="S57" s="16" t="e">
        <f>'Job Planner'!S57</f>
        <v>#VALUE!</v>
      </c>
      <c r="T57" s="16" t="e">
        <f>'Job Planner'!Z57</f>
        <v>#VALUE!</v>
      </c>
      <c r="U57" s="16" t="e">
        <f>'Job Planner'!AB57</f>
        <v>#VALUE!</v>
      </c>
      <c r="V57" s="16">
        <f>'Job Planner'!AE57</f>
        <v>0</v>
      </c>
      <c r="W57" s="16">
        <f>'Job Planner'!AF57</f>
        <v>0</v>
      </c>
      <c r="X57" s="16" t="e">
        <f>'Job Planner'!AG57</f>
        <v>#VALUE!</v>
      </c>
    </row>
    <row r="58" spans="1:24" x14ac:dyDescent="0.2">
      <c r="A58" s="5">
        <f>'Job Planner'!A58</f>
        <v>0</v>
      </c>
      <c r="B58" s="14">
        <f>'Job Planner'!B58</f>
        <v>0</v>
      </c>
      <c r="C58" s="13">
        <f>'Job Planner'!C58</f>
        <v>0</v>
      </c>
      <c r="D58" s="14">
        <f>'Job Planner'!D58</f>
        <v>0</v>
      </c>
      <c r="E58" s="13" t="str">
        <f>IF('Job Planner'!D58="GEOMETRY",'Job Planner'!E58,'Job Planner'!K58)</f>
        <v/>
      </c>
      <c r="F58" s="16">
        <f>'Job Planner'!F58</f>
        <v>0</v>
      </c>
      <c r="G58" s="16">
        <f>'Job Planner'!G58</f>
        <v>0</v>
      </c>
      <c r="H58" s="16" t="str">
        <f>'Job Planner'!I58</f>
        <v/>
      </c>
      <c r="I58" s="16" t="str">
        <f>'Job Planner'!J58</f>
        <v/>
      </c>
      <c r="J58" s="16" t="e">
        <f>'Job Planner'!N58</f>
        <v>#VALUE!</v>
      </c>
      <c r="K58" s="16" t="str">
        <f>IF(C58="BC",J58*'Mix Design'!$B$4,IF(C58="DBM",J58*'Mix Design'!$C$4,""))</f>
        <v/>
      </c>
      <c r="L58" s="16" t="str">
        <f>IF(C58="BC",J58*'Mix Design'!$B$5,IF(C58="DBM",J58*'Mix Design'!$C$5,""))</f>
        <v/>
      </c>
      <c r="M58" s="16" t="str">
        <f>IF(C58="BC",J58*'Mix Design'!$B$6,IF(C58="DBM",J58*'Mix Design'!$C$6,""))</f>
        <v/>
      </c>
      <c r="N58" s="16" t="str">
        <f>IF(C58="BC",J58*'Mix Design'!$B$7,IF(C58="DBM",J58*'Mix Design'!$C$7,""))</f>
        <v/>
      </c>
      <c r="O58" s="16" t="str">
        <f>IF(C58="BC",J58*'Mix Design'!$B$8,IF(C58="DBM",J58*'Mix Design'!$C$8,""))</f>
        <v/>
      </c>
      <c r="P58" s="16" t="str">
        <f>IF(C58="BC",J58*'Mix Design'!$B$9,IF(C58="DBM",J58*'Mix Design'!$C$9,""))</f>
        <v/>
      </c>
      <c r="Q58" s="16" t="e">
        <f>'Job Planner'!P58</f>
        <v>#VALUE!</v>
      </c>
      <c r="R58" s="16" t="e">
        <f>'Job Planner'!Q58</f>
        <v>#VALUE!</v>
      </c>
      <c r="S58" s="16" t="e">
        <f>'Job Planner'!S58</f>
        <v>#VALUE!</v>
      </c>
      <c r="T58" s="16" t="e">
        <f>'Job Planner'!Z58</f>
        <v>#VALUE!</v>
      </c>
      <c r="U58" s="16" t="e">
        <f>'Job Planner'!AB58</f>
        <v>#VALUE!</v>
      </c>
      <c r="V58" s="16">
        <f>'Job Planner'!AE58</f>
        <v>0</v>
      </c>
      <c r="W58" s="16">
        <f>'Job Planner'!AF58</f>
        <v>0</v>
      </c>
      <c r="X58" s="16" t="e">
        <f>'Job Planner'!AG58</f>
        <v>#VALUE!</v>
      </c>
    </row>
    <row r="59" spans="1:24" x14ac:dyDescent="0.2">
      <c r="A59" s="5">
        <f>'Job Planner'!A59</f>
        <v>0</v>
      </c>
      <c r="B59" s="14">
        <f>'Job Planner'!B59</f>
        <v>0</v>
      </c>
      <c r="C59" s="13">
        <f>'Job Planner'!C59</f>
        <v>0</v>
      </c>
      <c r="D59" s="14">
        <f>'Job Planner'!D59</f>
        <v>0</v>
      </c>
      <c r="E59" s="13" t="str">
        <f>IF('Job Planner'!D59="GEOMETRY",'Job Planner'!E59,'Job Planner'!K59)</f>
        <v/>
      </c>
      <c r="F59" s="16">
        <f>'Job Planner'!F59</f>
        <v>0</v>
      </c>
      <c r="G59" s="16">
        <f>'Job Planner'!G59</f>
        <v>0</v>
      </c>
      <c r="H59" s="16" t="str">
        <f>'Job Planner'!I59</f>
        <v/>
      </c>
      <c r="I59" s="16" t="str">
        <f>'Job Planner'!J59</f>
        <v/>
      </c>
      <c r="J59" s="16" t="e">
        <f>'Job Planner'!N59</f>
        <v>#VALUE!</v>
      </c>
      <c r="K59" s="16" t="str">
        <f>IF(C59="BC",J59*'Mix Design'!$B$4,IF(C59="DBM",J59*'Mix Design'!$C$4,""))</f>
        <v/>
      </c>
      <c r="L59" s="16" t="str">
        <f>IF(C59="BC",J59*'Mix Design'!$B$5,IF(C59="DBM",J59*'Mix Design'!$C$5,""))</f>
        <v/>
      </c>
      <c r="M59" s="16" t="str">
        <f>IF(C59="BC",J59*'Mix Design'!$B$6,IF(C59="DBM",J59*'Mix Design'!$C$6,""))</f>
        <v/>
      </c>
      <c r="N59" s="16" t="str">
        <f>IF(C59="BC",J59*'Mix Design'!$B$7,IF(C59="DBM",J59*'Mix Design'!$C$7,""))</f>
        <v/>
      </c>
      <c r="O59" s="16" t="str">
        <f>IF(C59="BC",J59*'Mix Design'!$B$8,IF(C59="DBM",J59*'Mix Design'!$C$8,""))</f>
        <v/>
      </c>
      <c r="P59" s="16" t="str">
        <f>IF(C59="BC",J59*'Mix Design'!$B$9,IF(C59="DBM",J59*'Mix Design'!$C$9,""))</f>
        <v/>
      </c>
      <c r="Q59" s="16" t="e">
        <f>'Job Planner'!P59</f>
        <v>#VALUE!</v>
      </c>
      <c r="R59" s="16" t="e">
        <f>'Job Planner'!Q59</f>
        <v>#VALUE!</v>
      </c>
      <c r="S59" s="16" t="e">
        <f>'Job Planner'!S59</f>
        <v>#VALUE!</v>
      </c>
      <c r="T59" s="16" t="e">
        <f>'Job Planner'!Z59</f>
        <v>#VALUE!</v>
      </c>
      <c r="U59" s="16" t="e">
        <f>'Job Planner'!AB59</f>
        <v>#VALUE!</v>
      </c>
      <c r="V59" s="16">
        <f>'Job Planner'!AE59</f>
        <v>0</v>
      </c>
      <c r="W59" s="16">
        <f>'Job Planner'!AF59</f>
        <v>0</v>
      </c>
      <c r="X59" s="16" t="e">
        <f>'Job Planner'!AG59</f>
        <v>#VALUE!</v>
      </c>
    </row>
    <row r="60" spans="1:24" x14ac:dyDescent="0.2">
      <c r="A60" s="5">
        <f>'Job Planner'!A60</f>
        <v>0</v>
      </c>
      <c r="B60" s="14">
        <f>'Job Planner'!B60</f>
        <v>0</v>
      </c>
      <c r="C60" s="13">
        <f>'Job Planner'!C60</f>
        <v>0</v>
      </c>
      <c r="D60" s="14">
        <f>'Job Planner'!D60</f>
        <v>0</v>
      </c>
      <c r="E60" s="13" t="str">
        <f>IF('Job Planner'!D60="GEOMETRY",'Job Planner'!E60,'Job Planner'!K60)</f>
        <v/>
      </c>
      <c r="F60" s="16">
        <f>'Job Planner'!F60</f>
        <v>0</v>
      </c>
      <c r="G60" s="16">
        <f>'Job Planner'!G60</f>
        <v>0</v>
      </c>
      <c r="H60" s="16" t="str">
        <f>'Job Planner'!I60</f>
        <v/>
      </c>
      <c r="I60" s="16" t="str">
        <f>'Job Planner'!J60</f>
        <v/>
      </c>
      <c r="J60" s="16" t="e">
        <f>'Job Planner'!N60</f>
        <v>#VALUE!</v>
      </c>
      <c r="K60" s="16" t="str">
        <f>IF(C60="BC",J60*'Mix Design'!$B$4,IF(C60="DBM",J60*'Mix Design'!$C$4,""))</f>
        <v/>
      </c>
      <c r="L60" s="16" t="str">
        <f>IF(C60="BC",J60*'Mix Design'!$B$5,IF(C60="DBM",J60*'Mix Design'!$C$5,""))</f>
        <v/>
      </c>
      <c r="M60" s="16" t="str">
        <f>IF(C60="BC",J60*'Mix Design'!$B$6,IF(C60="DBM",J60*'Mix Design'!$C$6,""))</f>
        <v/>
      </c>
      <c r="N60" s="16" t="str">
        <f>IF(C60="BC",J60*'Mix Design'!$B$7,IF(C60="DBM",J60*'Mix Design'!$C$7,""))</f>
        <v/>
      </c>
      <c r="O60" s="16" t="str">
        <f>IF(C60="BC",J60*'Mix Design'!$B$8,IF(C60="DBM",J60*'Mix Design'!$C$8,""))</f>
        <v/>
      </c>
      <c r="P60" s="16" t="str">
        <f>IF(C60="BC",J60*'Mix Design'!$B$9,IF(C60="DBM",J60*'Mix Design'!$C$9,""))</f>
        <v/>
      </c>
      <c r="Q60" s="16" t="e">
        <f>'Job Planner'!P60</f>
        <v>#VALUE!</v>
      </c>
      <c r="R60" s="16" t="e">
        <f>'Job Planner'!Q60</f>
        <v>#VALUE!</v>
      </c>
      <c r="S60" s="16" t="e">
        <f>'Job Planner'!S60</f>
        <v>#VALUE!</v>
      </c>
      <c r="T60" s="16" t="e">
        <f>'Job Planner'!Z60</f>
        <v>#VALUE!</v>
      </c>
      <c r="U60" s="16" t="e">
        <f>'Job Planner'!AB60</f>
        <v>#VALUE!</v>
      </c>
      <c r="V60" s="16">
        <f>'Job Planner'!AE60</f>
        <v>0</v>
      </c>
      <c r="W60" s="16">
        <f>'Job Planner'!AF60</f>
        <v>0</v>
      </c>
      <c r="X60" s="16" t="e">
        <f>'Job Planner'!AG60</f>
        <v>#VALUE!</v>
      </c>
    </row>
    <row r="61" spans="1:24" x14ac:dyDescent="0.2">
      <c r="A61" s="5">
        <f>'Job Planner'!A61</f>
        <v>0</v>
      </c>
      <c r="B61" s="14">
        <f>'Job Planner'!B61</f>
        <v>0</v>
      </c>
      <c r="C61" s="13">
        <f>'Job Planner'!C61</f>
        <v>0</v>
      </c>
      <c r="D61" s="14">
        <f>'Job Planner'!D61</f>
        <v>0</v>
      </c>
      <c r="E61" s="13" t="str">
        <f>IF('Job Planner'!D61="GEOMETRY",'Job Planner'!E61,'Job Planner'!K61)</f>
        <v/>
      </c>
      <c r="F61" s="16">
        <f>'Job Planner'!F61</f>
        <v>0</v>
      </c>
      <c r="G61" s="16">
        <f>'Job Planner'!G61</f>
        <v>0</v>
      </c>
      <c r="H61" s="16" t="str">
        <f>'Job Planner'!I61</f>
        <v/>
      </c>
      <c r="I61" s="16" t="str">
        <f>'Job Planner'!J61</f>
        <v/>
      </c>
      <c r="J61" s="16" t="e">
        <f>'Job Planner'!N61</f>
        <v>#VALUE!</v>
      </c>
      <c r="K61" s="16" t="str">
        <f>IF(C61="BC",J61*'Mix Design'!$B$4,IF(C61="DBM",J61*'Mix Design'!$C$4,""))</f>
        <v/>
      </c>
      <c r="L61" s="16" t="str">
        <f>IF(C61="BC",J61*'Mix Design'!$B$5,IF(C61="DBM",J61*'Mix Design'!$C$5,""))</f>
        <v/>
      </c>
      <c r="M61" s="16" t="str">
        <f>IF(C61="BC",J61*'Mix Design'!$B$6,IF(C61="DBM",J61*'Mix Design'!$C$6,""))</f>
        <v/>
      </c>
      <c r="N61" s="16" t="str">
        <f>IF(C61="BC",J61*'Mix Design'!$B$7,IF(C61="DBM",J61*'Mix Design'!$C$7,""))</f>
        <v/>
      </c>
      <c r="O61" s="16" t="str">
        <f>IF(C61="BC",J61*'Mix Design'!$B$8,IF(C61="DBM",J61*'Mix Design'!$C$8,""))</f>
        <v/>
      </c>
      <c r="P61" s="16" t="str">
        <f>IF(C61="BC",J61*'Mix Design'!$B$9,IF(C61="DBM",J61*'Mix Design'!$C$9,""))</f>
        <v/>
      </c>
      <c r="Q61" s="16" t="e">
        <f>'Job Planner'!P61</f>
        <v>#VALUE!</v>
      </c>
      <c r="R61" s="16" t="e">
        <f>'Job Planner'!Q61</f>
        <v>#VALUE!</v>
      </c>
      <c r="S61" s="16" t="e">
        <f>'Job Planner'!S61</f>
        <v>#VALUE!</v>
      </c>
      <c r="T61" s="16" t="e">
        <f>'Job Planner'!Z61</f>
        <v>#VALUE!</v>
      </c>
      <c r="U61" s="16" t="e">
        <f>'Job Planner'!AB61</f>
        <v>#VALUE!</v>
      </c>
      <c r="V61" s="16">
        <f>'Job Planner'!AE61</f>
        <v>0</v>
      </c>
      <c r="W61" s="16">
        <f>'Job Planner'!AF61</f>
        <v>0</v>
      </c>
      <c r="X61" s="16" t="e">
        <f>'Job Planner'!AG61</f>
        <v>#VALUE!</v>
      </c>
    </row>
    <row r="62" spans="1:24" x14ac:dyDescent="0.2">
      <c r="A62" s="5">
        <f>'Job Planner'!A62</f>
        <v>0</v>
      </c>
      <c r="B62" s="14">
        <f>'Job Planner'!B62</f>
        <v>0</v>
      </c>
      <c r="C62" s="13">
        <f>'Job Planner'!C62</f>
        <v>0</v>
      </c>
      <c r="D62" s="14">
        <f>'Job Planner'!D62</f>
        <v>0</v>
      </c>
      <c r="E62" s="13" t="str">
        <f>IF('Job Planner'!D62="GEOMETRY",'Job Planner'!E62,'Job Planner'!K62)</f>
        <v/>
      </c>
      <c r="F62" s="16">
        <f>'Job Planner'!F62</f>
        <v>0</v>
      </c>
      <c r="G62" s="16">
        <f>'Job Planner'!G62</f>
        <v>0</v>
      </c>
      <c r="H62" s="16" t="str">
        <f>'Job Planner'!I62</f>
        <v/>
      </c>
      <c r="I62" s="16" t="str">
        <f>'Job Planner'!J62</f>
        <v/>
      </c>
      <c r="J62" s="16" t="e">
        <f>'Job Planner'!N62</f>
        <v>#VALUE!</v>
      </c>
      <c r="K62" s="16" t="str">
        <f>IF(C62="BC",J62*'Mix Design'!$B$4,IF(C62="DBM",J62*'Mix Design'!$C$4,""))</f>
        <v/>
      </c>
      <c r="L62" s="16" t="str">
        <f>IF(C62="BC",J62*'Mix Design'!$B$5,IF(C62="DBM",J62*'Mix Design'!$C$5,""))</f>
        <v/>
      </c>
      <c r="M62" s="16" t="str">
        <f>IF(C62="BC",J62*'Mix Design'!$B$6,IF(C62="DBM",J62*'Mix Design'!$C$6,""))</f>
        <v/>
      </c>
      <c r="N62" s="16" t="str">
        <f>IF(C62="BC",J62*'Mix Design'!$B$7,IF(C62="DBM",J62*'Mix Design'!$C$7,""))</f>
        <v/>
      </c>
      <c r="O62" s="16" t="str">
        <f>IF(C62="BC",J62*'Mix Design'!$B$8,IF(C62="DBM",J62*'Mix Design'!$C$8,""))</f>
        <v/>
      </c>
      <c r="P62" s="16" t="str">
        <f>IF(C62="BC",J62*'Mix Design'!$B$9,IF(C62="DBM",J62*'Mix Design'!$C$9,""))</f>
        <v/>
      </c>
      <c r="Q62" s="16" t="e">
        <f>'Job Planner'!P62</f>
        <v>#VALUE!</v>
      </c>
      <c r="R62" s="16" t="e">
        <f>'Job Planner'!Q62</f>
        <v>#VALUE!</v>
      </c>
      <c r="S62" s="16" t="e">
        <f>'Job Planner'!S62</f>
        <v>#VALUE!</v>
      </c>
      <c r="T62" s="16" t="e">
        <f>'Job Planner'!Z62</f>
        <v>#VALUE!</v>
      </c>
      <c r="U62" s="16" t="e">
        <f>'Job Planner'!AB62</f>
        <v>#VALUE!</v>
      </c>
      <c r="V62" s="16">
        <f>'Job Planner'!AE62</f>
        <v>0</v>
      </c>
      <c r="W62" s="16">
        <f>'Job Planner'!AF62</f>
        <v>0</v>
      </c>
      <c r="X62" s="16" t="e">
        <f>'Job Planner'!AG62</f>
        <v>#VALUE!</v>
      </c>
    </row>
    <row r="63" spans="1:24" x14ac:dyDescent="0.2">
      <c r="A63" s="5">
        <f>'Job Planner'!A63</f>
        <v>0</v>
      </c>
      <c r="B63" s="14">
        <f>'Job Planner'!B63</f>
        <v>0</v>
      </c>
      <c r="C63" s="13">
        <f>'Job Planner'!C63</f>
        <v>0</v>
      </c>
      <c r="D63" s="14">
        <f>'Job Planner'!D63</f>
        <v>0</v>
      </c>
      <c r="E63" s="13" t="str">
        <f>IF('Job Planner'!D63="GEOMETRY",'Job Planner'!E63,'Job Planner'!K63)</f>
        <v/>
      </c>
      <c r="F63" s="16">
        <f>'Job Planner'!F63</f>
        <v>0</v>
      </c>
      <c r="G63" s="16">
        <f>'Job Planner'!G63</f>
        <v>0</v>
      </c>
      <c r="H63" s="16" t="str">
        <f>'Job Planner'!I63</f>
        <v/>
      </c>
      <c r="I63" s="16" t="str">
        <f>'Job Planner'!J63</f>
        <v/>
      </c>
      <c r="J63" s="16" t="e">
        <f>'Job Planner'!N63</f>
        <v>#VALUE!</v>
      </c>
      <c r="K63" s="16" t="str">
        <f>IF(C63="BC",J63*'Mix Design'!$B$4,IF(C63="DBM",J63*'Mix Design'!$C$4,""))</f>
        <v/>
      </c>
      <c r="L63" s="16" t="str">
        <f>IF(C63="BC",J63*'Mix Design'!$B$5,IF(C63="DBM",J63*'Mix Design'!$C$5,""))</f>
        <v/>
      </c>
      <c r="M63" s="16" t="str">
        <f>IF(C63="BC",J63*'Mix Design'!$B$6,IF(C63="DBM",J63*'Mix Design'!$C$6,""))</f>
        <v/>
      </c>
      <c r="N63" s="16" t="str">
        <f>IF(C63="BC",J63*'Mix Design'!$B$7,IF(C63="DBM",J63*'Mix Design'!$C$7,""))</f>
        <v/>
      </c>
      <c r="O63" s="16" t="str">
        <f>IF(C63="BC",J63*'Mix Design'!$B$8,IF(C63="DBM",J63*'Mix Design'!$C$8,""))</f>
        <v/>
      </c>
      <c r="P63" s="16" t="str">
        <f>IF(C63="BC",J63*'Mix Design'!$B$9,IF(C63="DBM",J63*'Mix Design'!$C$9,""))</f>
        <v/>
      </c>
      <c r="Q63" s="16" t="e">
        <f>'Job Planner'!P63</f>
        <v>#VALUE!</v>
      </c>
      <c r="R63" s="16" t="e">
        <f>'Job Planner'!Q63</f>
        <v>#VALUE!</v>
      </c>
      <c r="S63" s="16" t="e">
        <f>'Job Planner'!S63</f>
        <v>#VALUE!</v>
      </c>
      <c r="T63" s="16" t="e">
        <f>'Job Planner'!Z63</f>
        <v>#VALUE!</v>
      </c>
      <c r="U63" s="16" t="e">
        <f>'Job Planner'!AB63</f>
        <v>#VALUE!</v>
      </c>
      <c r="V63" s="16">
        <f>'Job Planner'!AE63</f>
        <v>0</v>
      </c>
      <c r="W63" s="16">
        <f>'Job Planner'!AF63</f>
        <v>0</v>
      </c>
      <c r="X63" s="16" t="e">
        <f>'Job Planner'!AG63</f>
        <v>#VALUE!</v>
      </c>
    </row>
    <row r="64" spans="1:24" x14ac:dyDescent="0.2">
      <c r="A64" s="5">
        <f>'Job Planner'!A64</f>
        <v>0</v>
      </c>
      <c r="B64" s="14">
        <f>'Job Planner'!B64</f>
        <v>0</v>
      </c>
      <c r="C64" s="13">
        <f>'Job Planner'!C64</f>
        <v>0</v>
      </c>
      <c r="D64" s="14">
        <f>'Job Planner'!D64</f>
        <v>0</v>
      </c>
      <c r="E64" s="13" t="str">
        <f>IF('Job Planner'!D64="GEOMETRY",'Job Planner'!E64,'Job Planner'!K64)</f>
        <v/>
      </c>
      <c r="F64" s="16">
        <f>'Job Planner'!F64</f>
        <v>0</v>
      </c>
      <c r="G64" s="16">
        <f>'Job Planner'!G64</f>
        <v>0</v>
      </c>
      <c r="H64" s="16" t="str">
        <f>'Job Planner'!I64</f>
        <v/>
      </c>
      <c r="I64" s="16" t="str">
        <f>'Job Planner'!J64</f>
        <v/>
      </c>
      <c r="J64" s="16" t="e">
        <f>'Job Planner'!N64</f>
        <v>#VALUE!</v>
      </c>
      <c r="K64" s="16" t="str">
        <f>IF(C64="BC",J64*'Mix Design'!$B$4,IF(C64="DBM",J64*'Mix Design'!$C$4,""))</f>
        <v/>
      </c>
      <c r="L64" s="16" t="str">
        <f>IF(C64="BC",J64*'Mix Design'!$B$5,IF(C64="DBM",J64*'Mix Design'!$C$5,""))</f>
        <v/>
      </c>
      <c r="M64" s="16" t="str">
        <f>IF(C64="BC",J64*'Mix Design'!$B$6,IF(C64="DBM",J64*'Mix Design'!$C$6,""))</f>
        <v/>
      </c>
      <c r="N64" s="16" t="str">
        <f>IF(C64="BC",J64*'Mix Design'!$B$7,IF(C64="DBM",J64*'Mix Design'!$C$7,""))</f>
        <v/>
      </c>
      <c r="O64" s="16" t="str">
        <f>IF(C64="BC",J64*'Mix Design'!$B$8,IF(C64="DBM",J64*'Mix Design'!$C$8,""))</f>
        <v/>
      </c>
      <c r="P64" s="16" t="str">
        <f>IF(C64="BC",J64*'Mix Design'!$B$9,IF(C64="DBM",J64*'Mix Design'!$C$9,""))</f>
        <v/>
      </c>
      <c r="Q64" s="16" t="e">
        <f>'Job Planner'!P64</f>
        <v>#VALUE!</v>
      </c>
      <c r="R64" s="16" t="e">
        <f>'Job Planner'!Q64</f>
        <v>#VALUE!</v>
      </c>
      <c r="S64" s="16" t="e">
        <f>'Job Planner'!S64</f>
        <v>#VALUE!</v>
      </c>
      <c r="T64" s="16" t="e">
        <f>'Job Planner'!Z64</f>
        <v>#VALUE!</v>
      </c>
      <c r="U64" s="16" t="e">
        <f>'Job Planner'!AB64</f>
        <v>#VALUE!</v>
      </c>
      <c r="V64" s="16">
        <f>'Job Planner'!AE64</f>
        <v>0</v>
      </c>
      <c r="W64" s="16">
        <f>'Job Planner'!AF64</f>
        <v>0</v>
      </c>
      <c r="X64" s="16" t="e">
        <f>'Job Planner'!AG64</f>
        <v>#VALUE!</v>
      </c>
    </row>
    <row r="65" spans="1:24" x14ac:dyDescent="0.2">
      <c r="A65" s="5">
        <f>'Job Planner'!A65</f>
        <v>0</v>
      </c>
      <c r="B65" s="14">
        <f>'Job Planner'!B65</f>
        <v>0</v>
      </c>
      <c r="C65" s="13">
        <f>'Job Planner'!C65</f>
        <v>0</v>
      </c>
      <c r="D65" s="14">
        <f>'Job Planner'!D65</f>
        <v>0</v>
      </c>
      <c r="E65" s="13" t="str">
        <f>IF('Job Planner'!D65="GEOMETRY",'Job Planner'!E65,'Job Planner'!K65)</f>
        <v/>
      </c>
      <c r="F65" s="16">
        <f>'Job Planner'!F65</f>
        <v>0</v>
      </c>
      <c r="G65" s="16">
        <f>'Job Planner'!G65</f>
        <v>0</v>
      </c>
      <c r="H65" s="16" t="str">
        <f>'Job Planner'!I65</f>
        <v/>
      </c>
      <c r="I65" s="16" t="str">
        <f>'Job Planner'!J65</f>
        <v/>
      </c>
      <c r="J65" s="16" t="e">
        <f>'Job Planner'!N65</f>
        <v>#VALUE!</v>
      </c>
      <c r="K65" s="16" t="str">
        <f>IF(C65="BC",J65*'Mix Design'!$B$4,IF(C65="DBM",J65*'Mix Design'!$C$4,""))</f>
        <v/>
      </c>
      <c r="L65" s="16" t="str">
        <f>IF(C65="BC",J65*'Mix Design'!$B$5,IF(C65="DBM",J65*'Mix Design'!$C$5,""))</f>
        <v/>
      </c>
      <c r="M65" s="16" t="str">
        <f>IF(C65="BC",J65*'Mix Design'!$B$6,IF(C65="DBM",J65*'Mix Design'!$C$6,""))</f>
        <v/>
      </c>
      <c r="N65" s="16" t="str">
        <f>IF(C65="BC",J65*'Mix Design'!$B$7,IF(C65="DBM",J65*'Mix Design'!$C$7,""))</f>
        <v/>
      </c>
      <c r="O65" s="16" t="str">
        <f>IF(C65="BC",J65*'Mix Design'!$B$8,IF(C65="DBM",J65*'Mix Design'!$C$8,""))</f>
        <v/>
      </c>
      <c r="P65" s="16" t="str">
        <f>IF(C65="BC",J65*'Mix Design'!$B$9,IF(C65="DBM",J65*'Mix Design'!$C$9,""))</f>
        <v/>
      </c>
      <c r="Q65" s="16" t="e">
        <f>'Job Planner'!P65</f>
        <v>#VALUE!</v>
      </c>
      <c r="R65" s="16" t="e">
        <f>'Job Planner'!Q65</f>
        <v>#VALUE!</v>
      </c>
      <c r="S65" s="16" t="e">
        <f>'Job Planner'!S65</f>
        <v>#VALUE!</v>
      </c>
      <c r="T65" s="16" t="e">
        <f>'Job Planner'!Z65</f>
        <v>#VALUE!</v>
      </c>
      <c r="U65" s="16" t="e">
        <f>'Job Planner'!AB65</f>
        <v>#VALUE!</v>
      </c>
      <c r="V65" s="16">
        <f>'Job Planner'!AE65</f>
        <v>0</v>
      </c>
      <c r="W65" s="16">
        <f>'Job Planner'!AF65</f>
        <v>0</v>
      </c>
      <c r="X65" s="16" t="e">
        <f>'Job Planner'!AG65</f>
        <v>#VALUE!</v>
      </c>
    </row>
    <row r="66" spans="1:24" x14ac:dyDescent="0.2">
      <c r="A66" s="5">
        <f>'Job Planner'!A66</f>
        <v>0</v>
      </c>
      <c r="B66" s="14">
        <f>'Job Planner'!B66</f>
        <v>0</v>
      </c>
      <c r="C66" s="13">
        <f>'Job Planner'!C66</f>
        <v>0</v>
      </c>
      <c r="D66" s="14">
        <f>'Job Planner'!D66</f>
        <v>0</v>
      </c>
      <c r="E66" s="13" t="str">
        <f>IF('Job Planner'!D66="GEOMETRY",'Job Planner'!E66,'Job Planner'!K66)</f>
        <v/>
      </c>
      <c r="F66" s="16">
        <f>'Job Planner'!F66</f>
        <v>0</v>
      </c>
      <c r="G66" s="16">
        <f>'Job Planner'!G66</f>
        <v>0</v>
      </c>
      <c r="H66" s="16" t="str">
        <f>'Job Planner'!I66</f>
        <v/>
      </c>
      <c r="I66" s="16" t="str">
        <f>'Job Planner'!J66</f>
        <v/>
      </c>
      <c r="J66" s="16" t="e">
        <f>'Job Planner'!N66</f>
        <v>#VALUE!</v>
      </c>
      <c r="K66" s="16" t="str">
        <f>IF(C66="BC",J66*'Mix Design'!$B$4,IF(C66="DBM",J66*'Mix Design'!$C$4,""))</f>
        <v/>
      </c>
      <c r="L66" s="16" t="str">
        <f>IF(C66="BC",J66*'Mix Design'!$B$5,IF(C66="DBM",J66*'Mix Design'!$C$5,""))</f>
        <v/>
      </c>
      <c r="M66" s="16" t="str">
        <f>IF(C66="BC",J66*'Mix Design'!$B$6,IF(C66="DBM",J66*'Mix Design'!$C$6,""))</f>
        <v/>
      </c>
      <c r="N66" s="16" t="str">
        <f>IF(C66="BC",J66*'Mix Design'!$B$7,IF(C66="DBM",J66*'Mix Design'!$C$7,""))</f>
        <v/>
      </c>
      <c r="O66" s="16" t="str">
        <f>IF(C66="BC",J66*'Mix Design'!$B$8,IF(C66="DBM",J66*'Mix Design'!$C$8,""))</f>
        <v/>
      </c>
      <c r="P66" s="16" t="str">
        <f>IF(C66="BC",J66*'Mix Design'!$B$9,IF(C66="DBM",J66*'Mix Design'!$C$9,""))</f>
        <v/>
      </c>
      <c r="Q66" s="16" t="e">
        <f>'Job Planner'!P66</f>
        <v>#VALUE!</v>
      </c>
      <c r="R66" s="16" t="e">
        <f>'Job Planner'!Q66</f>
        <v>#VALUE!</v>
      </c>
      <c r="S66" s="16" t="e">
        <f>'Job Planner'!S66</f>
        <v>#VALUE!</v>
      </c>
      <c r="T66" s="16" t="e">
        <f>'Job Planner'!Z66</f>
        <v>#VALUE!</v>
      </c>
      <c r="U66" s="16" t="e">
        <f>'Job Planner'!AB66</f>
        <v>#VALUE!</v>
      </c>
      <c r="V66" s="16">
        <f>'Job Planner'!AE66</f>
        <v>0</v>
      </c>
      <c r="W66" s="16">
        <f>'Job Planner'!AF66</f>
        <v>0</v>
      </c>
      <c r="X66" s="16" t="e">
        <f>'Job Planner'!AG66</f>
        <v>#VALUE!</v>
      </c>
    </row>
    <row r="67" spans="1:24" x14ac:dyDescent="0.2">
      <c r="A67" s="5">
        <f>'Job Planner'!A67</f>
        <v>0</v>
      </c>
      <c r="B67" s="14">
        <f>'Job Planner'!B67</f>
        <v>0</v>
      </c>
      <c r="C67" s="13">
        <f>'Job Planner'!C67</f>
        <v>0</v>
      </c>
      <c r="D67" s="14">
        <f>'Job Planner'!D67</f>
        <v>0</v>
      </c>
      <c r="E67" s="13" t="str">
        <f>IF('Job Planner'!D67="GEOMETRY",'Job Planner'!E67,'Job Planner'!K67)</f>
        <v/>
      </c>
      <c r="F67" s="16">
        <f>'Job Planner'!F67</f>
        <v>0</v>
      </c>
      <c r="G67" s="16">
        <f>'Job Planner'!G67</f>
        <v>0</v>
      </c>
      <c r="H67" s="16" t="str">
        <f>'Job Planner'!I67</f>
        <v/>
      </c>
      <c r="I67" s="16" t="str">
        <f>'Job Planner'!J67</f>
        <v/>
      </c>
      <c r="J67" s="16" t="e">
        <f>'Job Planner'!N67</f>
        <v>#VALUE!</v>
      </c>
      <c r="K67" s="16" t="str">
        <f>IF(C67="BC",J67*'Mix Design'!$B$4,IF(C67="DBM",J67*'Mix Design'!$C$4,""))</f>
        <v/>
      </c>
      <c r="L67" s="16" t="str">
        <f>IF(C67="BC",J67*'Mix Design'!$B$5,IF(C67="DBM",J67*'Mix Design'!$C$5,""))</f>
        <v/>
      </c>
      <c r="M67" s="16" t="str">
        <f>IF(C67="BC",J67*'Mix Design'!$B$6,IF(C67="DBM",J67*'Mix Design'!$C$6,""))</f>
        <v/>
      </c>
      <c r="N67" s="16" t="str">
        <f>IF(C67="BC",J67*'Mix Design'!$B$7,IF(C67="DBM",J67*'Mix Design'!$C$7,""))</f>
        <v/>
      </c>
      <c r="O67" s="16" t="str">
        <f>IF(C67="BC",J67*'Mix Design'!$B$8,IF(C67="DBM",J67*'Mix Design'!$C$8,""))</f>
        <v/>
      </c>
      <c r="P67" s="16" t="str">
        <f>IF(C67="BC",J67*'Mix Design'!$B$9,IF(C67="DBM",J67*'Mix Design'!$C$9,""))</f>
        <v/>
      </c>
      <c r="Q67" s="16" t="e">
        <f>'Job Planner'!P67</f>
        <v>#VALUE!</v>
      </c>
      <c r="R67" s="16" t="e">
        <f>'Job Planner'!Q67</f>
        <v>#VALUE!</v>
      </c>
      <c r="S67" s="16" t="e">
        <f>'Job Planner'!S67</f>
        <v>#VALUE!</v>
      </c>
      <c r="T67" s="16" t="e">
        <f>'Job Planner'!Z67</f>
        <v>#VALUE!</v>
      </c>
      <c r="U67" s="16" t="e">
        <f>'Job Planner'!AB67</f>
        <v>#VALUE!</v>
      </c>
      <c r="V67" s="16">
        <f>'Job Planner'!AE67</f>
        <v>0</v>
      </c>
      <c r="W67" s="16">
        <f>'Job Planner'!AF67</f>
        <v>0</v>
      </c>
      <c r="X67" s="16" t="e">
        <f>'Job Planner'!AG67</f>
        <v>#VALUE!</v>
      </c>
    </row>
    <row r="68" spans="1:24" x14ac:dyDescent="0.2">
      <c r="A68" s="5">
        <f>'Job Planner'!A68</f>
        <v>0</v>
      </c>
      <c r="B68" s="14">
        <f>'Job Planner'!B68</f>
        <v>0</v>
      </c>
      <c r="C68" s="13">
        <f>'Job Planner'!C68</f>
        <v>0</v>
      </c>
      <c r="D68" s="14">
        <f>'Job Planner'!D68</f>
        <v>0</v>
      </c>
      <c r="E68" s="13" t="str">
        <f>IF('Job Planner'!D68="GEOMETRY",'Job Planner'!E68,'Job Planner'!K68)</f>
        <v/>
      </c>
      <c r="F68" s="16">
        <f>'Job Planner'!F68</f>
        <v>0</v>
      </c>
      <c r="G68" s="16">
        <f>'Job Planner'!G68</f>
        <v>0</v>
      </c>
      <c r="H68" s="16" t="str">
        <f>'Job Planner'!I68</f>
        <v/>
      </c>
      <c r="I68" s="16" t="str">
        <f>'Job Planner'!J68</f>
        <v/>
      </c>
      <c r="J68" s="16" t="e">
        <f>'Job Planner'!N68</f>
        <v>#VALUE!</v>
      </c>
      <c r="K68" s="16" t="str">
        <f>IF(C68="BC",J68*'Mix Design'!$B$4,IF(C68="DBM",J68*'Mix Design'!$C$4,""))</f>
        <v/>
      </c>
      <c r="L68" s="16" t="str">
        <f>IF(C68="BC",J68*'Mix Design'!$B$5,IF(C68="DBM",J68*'Mix Design'!$C$5,""))</f>
        <v/>
      </c>
      <c r="M68" s="16" t="str">
        <f>IF(C68="BC",J68*'Mix Design'!$B$6,IF(C68="DBM",J68*'Mix Design'!$C$6,""))</f>
        <v/>
      </c>
      <c r="N68" s="16" t="str">
        <f>IF(C68="BC",J68*'Mix Design'!$B$7,IF(C68="DBM",J68*'Mix Design'!$C$7,""))</f>
        <v/>
      </c>
      <c r="O68" s="16" t="str">
        <f>IF(C68="BC",J68*'Mix Design'!$B$8,IF(C68="DBM",J68*'Mix Design'!$C$8,""))</f>
        <v/>
      </c>
      <c r="P68" s="16" t="str">
        <f>IF(C68="BC",J68*'Mix Design'!$B$9,IF(C68="DBM",J68*'Mix Design'!$C$9,""))</f>
        <v/>
      </c>
      <c r="Q68" s="16" t="e">
        <f>'Job Planner'!P68</f>
        <v>#VALUE!</v>
      </c>
      <c r="R68" s="16" t="e">
        <f>'Job Planner'!Q68</f>
        <v>#VALUE!</v>
      </c>
      <c r="S68" s="16" t="e">
        <f>'Job Planner'!S68</f>
        <v>#VALUE!</v>
      </c>
      <c r="T68" s="16" t="e">
        <f>'Job Planner'!Z68</f>
        <v>#VALUE!</v>
      </c>
      <c r="U68" s="16" t="e">
        <f>'Job Planner'!AB68</f>
        <v>#VALUE!</v>
      </c>
      <c r="V68" s="16">
        <f>'Job Planner'!AE68</f>
        <v>0</v>
      </c>
      <c r="W68" s="16">
        <f>'Job Planner'!AF68</f>
        <v>0</v>
      </c>
      <c r="X68" s="16" t="e">
        <f>'Job Planner'!AG68</f>
        <v>#VALUE!</v>
      </c>
    </row>
    <row r="69" spans="1:24" x14ac:dyDescent="0.2">
      <c r="A69" s="5">
        <f>'Job Planner'!A69</f>
        <v>0</v>
      </c>
      <c r="B69" s="14">
        <f>'Job Planner'!B69</f>
        <v>0</v>
      </c>
      <c r="C69" s="13">
        <f>'Job Planner'!C69</f>
        <v>0</v>
      </c>
      <c r="D69" s="14">
        <f>'Job Planner'!D69</f>
        <v>0</v>
      </c>
      <c r="E69" s="13" t="str">
        <f>IF('Job Planner'!D69="GEOMETRY",'Job Planner'!E69,'Job Planner'!K69)</f>
        <v/>
      </c>
      <c r="F69" s="16">
        <f>'Job Planner'!F69</f>
        <v>0</v>
      </c>
      <c r="G69" s="16">
        <f>'Job Planner'!G69</f>
        <v>0</v>
      </c>
      <c r="H69" s="16" t="str">
        <f>'Job Planner'!I69</f>
        <v/>
      </c>
      <c r="I69" s="16" t="str">
        <f>'Job Planner'!J69</f>
        <v/>
      </c>
      <c r="J69" s="16" t="e">
        <f>'Job Planner'!N69</f>
        <v>#VALUE!</v>
      </c>
      <c r="K69" s="16" t="str">
        <f>IF(C69="BC",J69*'Mix Design'!$B$4,IF(C69="DBM",J69*'Mix Design'!$C$4,""))</f>
        <v/>
      </c>
      <c r="L69" s="16" t="str">
        <f>IF(C69="BC",J69*'Mix Design'!$B$5,IF(C69="DBM",J69*'Mix Design'!$C$5,""))</f>
        <v/>
      </c>
      <c r="M69" s="16" t="str">
        <f>IF(C69="BC",J69*'Mix Design'!$B$6,IF(C69="DBM",J69*'Mix Design'!$C$6,""))</f>
        <v/>
      </c>
      <c r="N69" s="16" t="str">
        <f>IF(C69="BC",J69*'Mix Design'!$B$7,IF(C69="DBM",J69*'Mix Design'!$C$7,""))</f>
        <v/>
      </c>
      <c r="O69" s="16" t="str">
        <f>IF(C69="BC",J69*'Mix Design'!$B$8,IF(C69="DBM",J69*'Mix Design'!$C$8,""))</f>
        <v/>
      </c>
      <c r="P69" s="16" t="str">
        <f>IF(C69="BC",J69*'Mix Design'!$B$9,IF(C69="DBM",J69*'Mix Design'!$C$9,""))</f>
        <v/>
      </c>
      <c r="Q69" s="16" t="e">
        <f>'Job Planner'!P69</f>
        <v>#VALUE!</v>
      </c>
      <c r="R69" s="16" t="e">
        <f>'Job Planner'!Q69</f>
        <v>#VALUE!</v>
      </c>
      <c r="S69" s="16" t="e">
        <f>'Job Planner'!S69</f>
        <v>#VALUE!</v>
      </c>
      <c r="T69" s="16" t="e">
        <f>'Job Planner'!Z69</f>
        <v>#VALUE!</v>
      </c>
      <c r="U69" s="16" t="e">
        <f>'Job Planner'!AB69</f>
        <v>#VALUE!</v>
      </c>
      <c r="V69" s="16">
        <f>'Job Planner'!AE69</f>
        <v>0</v>
      </c>
      <c r="W69" s="16">
        <f>'Job Planner'!AF69</f>
        <v>0</v>
      </c>
      <c r="X69" s="16" t="e">
        <f>'Job Planner'!AG69</f>
        <v>#VALUE!</v>
      </c>
    </row>
    <row r="70" spans="1:24" x14ac:dyDescent="0.2">
      <c r="A70" s="5">
        <f>'Job Planner'!A70</f>
        <v>0</v>
      </c>
      <c r="B70" s="14">
        <f>'Job Planner'!B70</f>
        <v>0</v>
      </c>
      <c r="C70" s="13">
        <f>'Job Planner'!C70</f>
        <v>0</v>
      </c>
      <c r="D70" s="14">
        <f>'Job Planner'!D70</f>
        <v>0</v>
      </c>
      <c r="E70" s="13" t="str">
        <f>IF('Job Planner'!D70="GEOMETRY",'Job Planner'!E70,'Job Planner'!K70)</f>
        <v/>
      </c>
      <c r="F70" s="16">
        <f>'Job Planner'!F70</f>
        <v>0</v>
      </c>
      <c r="G70" s="16">
        <f>'Job Planner'!G70</f>
        <v>0</v>
      </c>
      <c r="H70" s="16" t="str">
        <f>'Job Planner'!I70</f>
        <v/>
      </c>
      <c r="I70" s="16" t="str">
        <f>'Job Planner'!J70</f>
        <v/>
      </c>
      <c r="J70" s="16" t="e">
        <f>'Job Planner'!N70</f>
        <v>#VALUE!</v>
      </c>
      <c r="K70" s="16" t="str">
        <f>IF(C70="BC",J70*'Mix Design'!$B$4,IF(C70="DBM",J70*'Mix Design'!$C$4,""))</f>
        <v/>
      </c>
      <c r="L70" s="16" t="str">
        <f>IF(C70="BC",J70*'Mix Design'!$B$5,IF(C70="DBM",J70*'Mix Design'!$C$5,""))</f>
        <v/>
      </c>
      <c r="M70" s="16" t="str">
        <f>IF(C70="BC",J70*'Mix Design'!$B$6,IF(C70="DBM",J70*'Mix Design'!$C$6,""))</f>
        <v/>
      </c>
      <c r="N70" s="16" t="str">
        <f>IF(C70="BC",J70*'Mix Design'!$B$7,IF(C70="DBM",J70*'Mix Design'!$C$7,""))</f>
        <v/>
      </c>
      <c r="O70" s="16" t="str">
        <f>IF(C70="BC",J70*'Mix Design'!$B$8,IF(C70="DBM",J70*'Mix Design'!$C$8,""))</f>
        <v/>
      </c>
      <c r="P70" s="16" t="str">
        <f>IF(C70="BC",J70*'Mix Design'!$B$9,IF(C70="DBM",J70*'Mix Design'!$C$9,""))</f>
        <v/>
      </c>
      <c r="Q70" s="16" t="e">
        <f>'Job Planner'!P70</f>
        <v>#VALUE!</v>
      </c>
      <c r="R70" s="16" t="e">
        <f>'Job Planner'!Q70</f>
        <v>#VALUE!</v>
      </c>
      <c r="S70" s="16" t="e">
        <f>'Job Planner'!S70</f>
        <v>#VALUE!</v>
      </c>
      <c r="T70" s="16" t="e">
        <f>'Job Planner'!Z70</f>
        <v>#VALUE!</v>
      </c>
      <c r="U70" s="16" t="e">
        <f>'Job Planner'!AB70</f>
        <v>#VALUE!</v>
      </c>
      <c r="V70" s="16">
        <f>'Job Planner'!AE70</f>
        <v>0</v>
      </c>
      <c r="W70" s="16">
        <f>'Job Planner'!AF70</f>
        <v>0</v>
      </c>
      <c r="X70" s="16" t="e">
        <f>'Job Planner'!AG70</f>
        <v>#VALUE!</v>
      </c>
    </row>
    <row r="71" spans="1:24" x14ac:dyDescent="0.2">
      <c r="A71" s="5">
        <f>'Job Planner'!A71</f>
        <v>0</v>
      </c>
      <c r="B71" s="14">
        <f>'Job Planner'!B71</f>
        <v>0</v>
      </c>
      <c r="C71" s="13">
        <f>'Job Planner'!C71</f>
        <v>0</v>
      </c>
      <c r="D71" s="14">
        <f>'Job Planner'!D71</f>
        <v>0</v>
      </c>
      <c r="E71" s="13" t="str">
        <f>IF('Job Planner'!D71="GEOMETRY",'Job Planner'!E71,'Job Planner'!K71)</f>
        <v/>
      </c>
      <c r="F71" s="16">
        <f>'Job Planner'!F71</f>
        <v>0</v>
      </c>
      <c r="G71" s="16">
        <f>'Job Planner'!G71</f>
        <v>0</v>
      </c>
      <c r="H71" s="16" t="str">
        <f>'Job Planner'!I71</f>
        <v/>
      </c>
      <c r="I71" s="16" t="str">
        <f>'Job Planner'!J71</f>
        <v/>
      </c>
      <c r="J71" s="16" t="e">
        <f>'Job Planner'!N71</f>
        <v>#VALUE!</v>
      </c>
      <c r="K71" s="16" t="str">
        <f>IF(C71="BC",J71*'Mix Design'!$B$4,IF(C71="DBM",J71*'Mix Design'!$C$4,""))</f>
        <v/>
      </c>
      <c r="L71" s="16" t="str">
        <f>IF(C71="BC",J71*'Mix Design'!$B$5,IF(C71="DBM",J71*'Mix Design'!$C$5,""))</f>
        <v/>
      </c>
      <c r="M71" s="16" t="str">
        <f>IF(C71="BC",J71*'Mix Design'!$B$6,IF(C71="DBM",J71*'Mix Design'!$C$6,""))</f>
        <v/>
      </c>
      <c r="N71" s="16" t="str">
        <f>IF(C71="BC",J71*'Mix Design'!$B$7,IF(C71="DBM",J71*'Mix Design'!$C$7,""))</f>
        <v/>
      </c>
      <c r="O71" s="16" t="str">
        <f>IF(C71="BC",J71*'Mix Design'!$B$8,IF(C71="DBM",J71*'Mix Design'!$C$8,""))</f>
        <v/>
      </c>
      <c r="P71" s="16" t="str">
        <f>IF(C71="BC",J71*'Mix Design'!$B$9,IF(C71="DBM",J71*'Mix Design'!$C$9,""))</f>
        <v/>
      </c>
      <c r="Q71" s="16" t="e">
        <f>'Job Planner'!P71</f>
        <v>#VALUE!</v>
      </c>
      <c r="R71" s="16" t="e">
        <f>'Job Planner'!Q71</f>
        <v>#VALUE!</v>
      </c>
      <c r="S71" s="16" t="e">
        <f>'Job Planner'!S71</f>
        <v>#VALUE!</v>
      </c>
      <c r="T71" s="16" t="e">
        <f>'Job Planner'!Z71</f>
        <v>#VALUE!</v>
      </c>
      <c r="U71" s="16" t="e">
        <f>'Job Planner'!AB71</f>
        <v>#VALUE!</v>
      </c>
      <c r="V71" s="16">
        <f>'Job Planner'!AE71</f>
        <v>0</v>
      </c>
      <c r="W71" s="16">
        <f>'Job Planner'!AF71</f>
        <v>0</v>
      </c>
      <c r="X71" s="16" t="e">
        <f>'Job Planner'!AG71</f>
        <v>#VALUE!</v>
      </c>
    </row>
    <row r="72" spans="1:24" x14ac:dyDescent="0.2">
      <c r="A72" s="5">
        <f>'Job Planner'!A72</f>
        <v>0</v>
      </c>
      <c r="B72" s="14">
        <f>'Job Planner'!B72</f>
        <v>0</v>
      </c>
      <c r="C72" s="13">
        <f>'Job Planner'!C72</f>
        <v>0</v>
      </c>
      <c r="D72" s="14">
        <f>'Job Planner'!D72</f>
        <v>0</v>
      </c>
      <c r="E72" s="13" t="str">
        <f>IF('Job Planner'!D72="GEOMETRY",'Job Planner'!E72,'Job Planner'!K72)</f>
        <v/>
      </c>
      <c r="F72" s="16">
        <f>'Job Planner'!F72</f>
        <v>0</v>
      </c>
      <c r="G72" s="16">
        <f>'Job Planner'!G72</f>
        <v>0</v>
      </c>
      <c r="H72" s="16" t="str">
        <f>'Job Planner'!I72</f>
        <v/>
      </c>
      <c r="I72" s="16" t="str">
        <f>'Job Planner'!J72</f>
        <v/>
      </c>
      <c r="J72" s="16" t="e">
        <f>'Job Planner'!N72</f>
        <v>#VALUE!</v>
      </c>
      <c r="K72" s="16" t="str">
        <f>IF(C72="BC",J72*'Mix Design'!$B$4,IF(C72="DBM",J72*'Mix Design'!$C$4,""))</f>
        <v/>
      </c>
      <c r="L72" s="16" t="str">
        <f>IF(C72="BC",J72*'Mix Design'!$B$5,IF(C72="DBM",J72*'Mix Design'!$C$5,""))</f>
        <v/>
      </c>
      <c r="M72" s="16" t="str">
        <f>IF(C72="BC",J72*'Mix Design'!$B$6,IF(C72="DBM",J72*'Mix Design'!$C$6,""))</f>
        <v/>
      </c>
      <c r="N72" s="16" t="str">
        <f>IF(C72="BC",J72*'Mix Design'!$B$7,IF(C72="DBM",J72*'Mix Design'!$C$7,""))</f>
        <v/>
      </c>
      <c r="O72" s="16" t="str">
        <f>IF(C72="BC",J72*'Mix Design'!$B$8,IF(C72="DBM",J72*'Mix Design'!$C$8,""))</f>
        <v/>
      </c>
      <c r="P72" s="16" t="str">
        <f>IF(C72="BC",J72*'Mix Design'!$B$9,IF(C72="DBM",J72*'Mix Design'!$C$9,""))</f>
        <v/>
      </c>
      <c r="Q72" s="16" t="e">
        <f>'Job Planner'!P72</f>
        <v>#VALUE!</v>
      </c>
      <c r="R72" s="16" t="e">
        <f>'Job Planner'!Q72</f>
        <v>#VALUE!</v>
      </c>
      <c r="S72" s="16" t="e">
        <f>'Job Planner'!S72</f>
        <v>#VALUE!</v>
      </c>
      <c r="T72" s="16" t="e">
        <f>'Job Planner'!Z72</f>
        <v>#VALUE!</v>
      </c>
      <c r="U72" s="16" t="e">
        <f>'Job Planner'!AB72</f>
        <v>#VALUE!</v>
      </c>
      <c r="V72" s="16">
        <f>'Job Planner'!AE72</f>
        <v>0</v>
      </c>
      <c r="W72" s="16">
        <f>'Job Planner'!AF72</f>
        <v>0</v>
      </c>
      <c r="X72" s="16" t="e">
        <f>'Job Planner'!AG72</f>
        <v>#VALUE!</v>
      </c>
    </row>
    <row r="73" spans="1:24" x14ac:dyDescent="0.2">
      <c r="A73" s="5">
        <f>'Job Planner'!A73</f>
        <v>0</v>
      </c>
      <c r="B73" s="14">
        <f>'Job Planner'!B73</f>
        <v>0</v>
      </c>
      <c r="C73" s="13">
        <f>'Job Planner'!C73</f>
        <v>0</v>
      </c>
      <c r="D73" s="14">
        <f>'Job Planner'!D73</f>
        <v>0</v>
      </c>
      <c r="E73" s="13" t="str">
        <f>IF('Job Planner'!D73="GEOMETRY",'Job Planner'!E73,'Job Planner'!K73)</f>
        <v/>
      </c>
      <c r="F73" s="16">
        <f>'Job Planner'!F73</f>
        <v>0</v>
      </c>
      <c r="G73" s="16">
        <f>'Job Planner'!G73</f>
        <v>0</v>
      </c>
      <c r="H73" s="16" t="str">
        <f>'Job Planner'!I73</f>
        <v/>
      </c>
      <c r="I73" s="16" t="str">
        <f>'Job Planner'!J73</f>
        <v/>
      </c>
      <c r="J73" s="16" t="e">
        <f>'Job Planner'!N73</f>
        <v>#VALUE!</v>
      </c>
      <c r="K73" s="16" t="str">
        <f>IF(C73="BC",J73*'Mix Design'!$B$4,IF(C73="DBM",J73*'Mix Design'!$C$4,""))</f>
        <v/>
      </c>
      <c r="L73" s="16" t="str">
        <f>IF(C73="BC",J73*'Mix Design'!$B$5,IF(C73="DBM",J73*'Mix Design'!$C$5,""))</f>
        <v/>
      </c>
      <c r="M73" s="16" t="str">
        <f>IF(C73="BC",J73*'Mix Design'!$B$6,IF(C73="DBM",J73*'Mix Design'!$C$6,""))</f>
        <v/>
      </c>
      <c r="N73" s="16" t="str">
        <f>IF(C73="BC",J73*'Mix Design'!$B$7,IF(C73="DBM",J73*'Mix Design'!$C$7,""))</f>
        <v/>
      </c>
      <c r="O73" s="16" t="str">
        <f>IF(C73="BC",J73*'Mix Design'!$B$8,IF(C73="DBM",J73*'Mix Design'!$C$8,""))</f>
        <v/>
      </c>
      <c r="P73" s="16" t="str">
        <f>IF(C73="BC",J73*'Mix Design'!$B$9,IF(C73="DBM",J73*'Mix Design'!$C$9,""))</f>
        <v/>
      </c>
      <c r="Q73" s="16" t="e">
        <f>'Job Planner'!P73</f>
        <v>#VALUE!</v>
      </c>
      <c r="R73" s="16" t="e">
        <f>'Job Planner'!Q73</f>
        <v>#VALUE!</v>
      </c>
      <c r="S73" s="16" t="e">
        <f>'Job Planner'!S73</f>
        <v>#VALUE!</v>
      </c>
      <c r="T73" s="16" t="e">
        <f>'Job Planner'!Z73</f>
        <v>#VALUE!</v>
      </c>
      <c r="U73" s="16" t="e">
        <f>'Job Planner'!AB73</f>
        <v>#VALUE!</v>
      </c>
      <c r="V73" s="16">
        <f>'Job Planner'!AE73</f>
        <v>0</v>
      </c>
      <c r="W73" s="16">
        <f>'Job Planner'!AF73</f>
        <v>0</v>
      </c>
      <c r="X73" s="16" t="e">
        <f>'Job Planner'!AG73</f>
        <v>#VALUE!</v>
      </c>
    </row>
    <row r="74" spans="1:24" x14ac:dyDescent="0.2">
      <c r="A74" s="5">
        <f>'Job Planner'!A74</f>
        <v>0</v>
      </c>
      <c r="B74" s="14">
        <f>'Job Planner'!B74</f>
        <v>0</v>
      </c>
      <c r="C74" s="13">
        <f>'Job Planner'!C74</f>
        <v>0</v>
      </c>
      <c r="D74" s="14">
        <f>'Job Planner'!D74</f>
        <v>0</v>
      </c>
      <c r="E74" s="13" t="str">
        <f>IF('Job Planner'!D74="GEOMETRY",'Job Planner'!E74,'Job Planner'!K74)</f>
        <v/>
      </c>
      <c r="F74" s="16">
        <f>'Job Planner'!F74</f>
        <v>0</v>
      </c>
      <c r="G74" s="16">
        <f>'Job Planner'!G74</f>
        <v>0</v>
      </c>
      <c r="H74" s="16" t="str">
        <f>'Job Planner'!I74</f>
        <v/>
      </c>
      <c r="I74" s="16" t="str">
        <f>'Job Planner'!J74</f>
        <v/>
      </c>
      <c r="J74" s="16" t="e">
        <f>'Job Planner'!N74</f>
        <v>#VALUE!</v>
      </c>
      <c r="K74" s="16" t="str">
        <f>IF(C74="BC",J74*'Mix Design'!$B$4,IF(C74="DBM",J74*'Mix Design'!$C$4,""))</f>
        <v/>
      </c>
      <c r="L74" s="16" t="str">
        <f>IF(C74="BC",J74*'Mix Design'!$B$5,IF(C74="DBM",J74*'Mix Design'!$C$5,""))</f>
        <v/>
      </c>
      <c r="M74" s="16" t="str">
        <f>IF(C74="BC",J74*'Mix Design'!$B$6,IF(C74="DBM",J74*'Mix Design'!$C$6,""))</f>
        <v/>
      </c>
      <c r="N74" s="16" t="str">
        <f>IF(C74="BC",J74*'Mix Design'!$B$7,IF(C74="DBM",J74*'Mix Design'!$C$7,""))</f>
        <v/>
      </c>
      <c r="O74" s="16" t="str">
        <f>IF(C74="BC",J74*'Mix Design'!$B$8,IF(C74="DBM",J74*'Mix Design'!$C$8,""))</f>
        <v/>
      </c>
      <c r="P74" s="16" t="str">
        <f>IF(C74="BC",J74*'Mix Design'!$B$9,IF(C74="DBM",J74*'Mix Design'!$C$9,""))</f>
        <v/>
      </c>
      <c r="Q74" s="16" t="e">
        <f>'Job Planner'!P74</f>
        <v>#VALUE!</v>
      </c>
      <c r="R74" s="16" t="e">
        <f>'Job Planner'!Q74</f>
        <v>#VALUE!</v>
      </c>
      <c r="S74" s="16" t="e">
        <f>'Job Planner'!S74</f>
        <v>#VALUE!</v>
      </c>
      <c r="T74" s="16" t="e">
        <f>'Job Planner'!Z74</f>
        <v>#VALUE!</v>
      </c>
      <c r="U74" s="16" t="e">
        <f>'Job Planner'!AB74</f>
        <v>#VALUE!</v>
      </c>
      <c r="V74" s="16">
        <f>'Job Planner'!AE74</f>
        <v>0</v>
      </c>
      <c r="W74" s="16">
        <f>'Job Planner'!AF74</f>
        <v>0</v>
      </c>
      <c r="X74" s="16" t="e">
        <f>'Job Planner'!AG74</f>
        <v>#VALUE!</v>
      </c>
    </row>
    <row r="75" spans="1:24" x14ac:dyDescent="0.2">
      <c r="A75" s="5">
        <f>'Job Planner'!A75</f>
        <v>0</v>
      </c>
      <c r="B75" s="14">
        <f>'Job Planner'!B75</f>
        <v>0</v>
      </c>
      <c r="C75" s="13">
        <f>'Job Planner'!C75</f>
        <v>0</v>
      </c>
      <c r="D75" s="14">
        <f>'Job Planner'!D75</f>
        <v>0</v>
      </c>
      <c r="E75" s="13" t="str">
        <f>IF('Job Planner'!D75="GEOMETRY",'Job Planner'!E75,'Job Planner'!K75)</f>
        <v/>
      </c>
      <c r="F75" s="16">
        <f>'Job Planner'!F75</f>
        <v>0</v>
      </c>
      <c r="G75" s="16">
        <f>'Job Planner'!G75</f>
        <v>0</v>
      </c>
      <c r="H75" s="16" t="str">
        <f>'Job Planner'!I75</f>
        <v/>
      </c>
      <c r="I75" s="16" t="str">
        <f>'Job Planner'!J75</f>
        <v/>
      </c>
      <c r="J75" s="16" t="e">
        <f>'Job Planner'!N75</f>
        <v>#VALUE!</v>
      </c>
      <c r="K75" s="16" t="str">
        <f>IF(C75="BC",J75*'Mix Design'!$B$4,IF(C75="DBM",J75*'Mix Design'!$C$4,""))</f>
        <v/>
      </c>
      <c r="L75" s="16" t="str">
        <f>IF(C75="BC",J75*'Mix Design'!$B$5,IF(C75="DBM",J75*'Mix Design'!$C$5,""))</f>
        <v/>
      </c>
      <c r="M75" s="16" t="str">
        <f>IF(C75="BC",J75*'Mix Design'!$B$6,IF(C75="DBM",J75*'Mix Design'!$C$6,""))</f>
        <v/>
      </c>
      <c r="N75" s="16" t="str">
        <f>IF(C75="BC",J75*'Mix Design'!$B$7,IF(C75="DBM",J75*'Mix Design'!$C$7,""))</f>
        <v/>
      </c>
      <c r="O75" s="16" t="str">
        <f>IF(C75="BC",J75*'Mix Design'!$B$8,IF(C75="DBM",J75*'Mix Design'!$C$8,""))</f>
        <v/>
      </c>
      <c r="P75" s="16" t="str">
        <f>IF(C75="BC",J75*'Mix Design'!$B$9,IF(C75="DBM",J75*'Mix Design'!$C$9,""))</f>
        <v/>
      </c>
      <c r="Q75" s="16" t="e">
        <f>'Job Planner'!P75</f>
        <v>#VALUE!</v>
      </c>
      <c r="R75" s="16" t="e">
        <f>'Job Planner'!Q75</f>
        <v>#VALUE!</v>
      </c>
      <c r="S75" s="16" t="e">
        <f>'Job Planner'!S75</f>
        <v>#VALUE!</v>
      </c>
      <c r="T75" s="16" t="e">
        <f>'Job Planner'!Z75</f>
        <v>#VALUE!</v>
      </c>
      <c r="U75" s="16" t="e">
        <f>'Job Planner'!AB75</f>
        <v>#VALUE!</v>
      </c>
      <c r="V75" s="16">
        <f>'Job Planner'!AE75</f>
        <v>0</v>
      </c>
      <c r="W75" s="16">
        <f>'Job Planner'!AF75</f>
        <v>0</v>
      </c>
      <c r="X75" s="16" t="e">
        <f>'Job Planner'!AG75</f>
        <v>#VALUE!</v>
      </c>
    </row>
    <row r="76" spans="1:24" x14ac:dyDescent="0.2">
      <c r="A76" s="5">
        <f>'Job Planner'!A76</f>
        <v>0</v>
      </c>
      <c r="B76" s="14">
        <f>'Job Planner'!B76</f>
        <v>0</v>
      </c>
      <c r="C76" s="13">
        <f>'Job Planner'!C76</f>
        <v>0</v>
      </c>
      <c r="D76" s="14">
        <f>'Job Planner'!D76</f>
        <v>0</v>
      </c>
      <c r="E76" s="13" t="str">
        <f>IF('Job Planner'!D76="GEOMETRY",'Job Planner'!E76,'Job Planner'!K76)</f>
        <v/>
      </c>
      <c r="F76" s="16">
        <f>'Job Planner'!F76</f>
        <v>0</v>
      </c>
      <c r="G76" s="16">
        <f>'Job Planner'!G76</f>
        <v>0</v>
      </c>
      <c r="H76" s="16" t="str">
        <f>'Job Planner'!I76</f>
        <v/>
      </c>
      <c r="I76" s="16" t="str">
        <f>'Job Planner'!J76</f>
        <v/>
      </c>
      <c r="J76" s="16" t="e">
        <f>'Job Planner'!N76</f>
        <v>#VALUE!</v>
      </c>
      <c r="K76" s="16" t="str">
        <f>IF(C76="BC",J76*'Mix Design'!$B$4,IF(C76="DBM",J76*'Mix Design'!$C$4,""))</f>
        <v/>
      </c>
      <c r="L76" s="16" t="str">
        <f>IF(C76="BC",J76*'Mix Design'!$B$5,IF(C76="DBM",J76*'Mix Design'!$C$5,""))</f>
        <v/>
      </c>
      <c r="M76" s="16" t="str">
        <f>IF(C76="BC",J76*'Mix Design'!$B$6,IF(C76="DBM",J76*'Mix Design'!$C$6,""))</f>
        <v/>
      </c>
      <c r="N76" s="16" t="str">
        <f>IF(C76="BC",J76*'Mix Design'!$B$7,IF(C76="DBM",J76*'Mix Design'!$C$7,""))</f>
        <v/>
      </c>
      <c r="O76" s="16" t="str">
        <f>IF(C76="BC",J76*'Mix Design'!$B$8,IF(C76="DBM",J76*'Mix Design'!$C$8,""))</f>
        <v/>
      </c>
      <c r="P76" s="16" t="str">
        <f>IF(C76="BC",J76*'Mix Design'!$B$9,IF(C76="DBM",J76*'Mix Design'!$C$9,""))</f>
        <v/>
      </c>
      <c r="Q76" s="16" t="e">
        <f>'Job Planner'!P76</f>
        <v>#VALUE!</v>
      </c>
      <c r="R76" s="16" t="e">
        <f>'Job Planner'!Q76</f>
        <v>#VALUE!</v>
      </c>
      <c r="S76" s="16" t="e">
        <f>'Job Planner'!S76</f>
        <v>#VALUE!</v>
      </c>
      <c r="T76" s="16" t="e">
        <f>'Job Planner'!Z76</f>
        <v>#VALUE!</v>
      </c>
      <c r="U76" s="16" t="e">
        <f>'Job Planner'!AB76</f>
        <v>#VALUE!</v>
      </c>
      <c r="V76" s="16">
        <f>'Job Planner'!AE76</f>
        <v>0</v>
      </c>
      <c r="W76" s="16">
        <f>'Job Planner'!AF76</f>
        <v>0</v>
      </c>
      <c r="X76" s="16" t="e">
        <f>'Job Planner'!AG76</f>
        <v>#VALUE!</v>
      </c>
    </row>
    <row r="77" spans="1:24" x14ac:dyDescent="0.2">
      <c r="A77" s="5">
        <f>'Job Planner'!A77</f>
        <v>0</v>
      </c>
      <c r="B77" s="14">
        <f>'Job Planner'!B77</f>
        <v>0</v>
      </c>
      <c r="C77" s="13">
        <f>'Job Planner'!C77</f>
        <v>0</v>
      </c>
      <c r="D77" s="14">
        <f>'Job Planner'!D77</f>
        <v>0</v>
      </c>
      <c r="E77" s="13" t="str">
        <f>IF('Job Planner'!D77="GEOMETRY",'Job Planner'!E77,'Job Planner'!K77)</f>
        <v/>
      </c>
      <c r="F77" s="16">
        <f>'Job Planner'!F77</f>
        <v>0</v>
      </c>
      <c r="G77" s="16">
        <f>'Job Planner'!G77</f>
        <v>0</v>
      </c>
      <c r="H77" s="16" t="str">
        <f>'Job Planner'!I77</f>
        <v/>
      </c>
      <c r="I77" s="16" t="str">
        <f>'Job Planner'!J77</f>
        <v/>
      </c>
      <c r="J77" s="16" t="e">
        <f>'Job Planner'!N77</f>
        <v>#VALUE!</v>
      </c>
      <c r="K77" s="16" t="str">
        <f>IF(C77="BC",J77*'Mix Design'!$B$4,IF(C77="DBM",J77*'Mix Design'!$C$4,""))</f>
        <v/>
      </c>
      <c r="L77" s="16" t="str">
        <f>IF(C77="BC",J77*'Mix Design'!$B$5,IF(C77="DBM",J77*'Mix Design'!$C$5,""))</f>
        <v/>
      </c>
      <c r="M77" s="16" t="str">
        <f>IF(C77="BC",J77*'Mix Design'!$B$6,IF(C77="DBM",J77*'Mix Design'!$C$6,""))</f>
        <v/>
      </c>
      <c r="N77" s="16" t="str">
        <f>IF(C77="BC",J77*'Mix Design'!$B$7,IF(C77="DBM",J77*'Mix Design'!$C$7,""))</f>
        <v/>
      </c>
      <c r="O77" s="16" t="str">
        <f>IF(C77="BC",J77*'Mix Design'!$B$8,IF(C77="DBM",J77*'Mix Design'!$C$8,""))</f>
        <v/>
      </c>
      <c r="P77" s="16" t="str">
        <f>IF(C77="BC",J77*'Mix Design'!$B$9,IF(C77="DBM",J77*'Mix Design'!$C$9,""))</f>
        <v/>
      </c>
      <c r="Q77" s="16" t="e">
        <f>'Job Planner'!P77</f>
        <v>#VALUE!</v>
      </c>
      <c r="R77" s="16" t="e">
        <f>'Job Planner'!Q77</f>
        <v>#VALUE!</v>
      </c>
      <c r="S77" s="16" t="e">
        <f>'Job Planner'!S77</f>
        <v>#VALUE!</v>
      </c>
      <c r="T77" s="16" t="e">
        <f>'Job Planner'!Z77</f>
        <v>#VALUE!</v>
      </c>
      <c r="U77" s="16" t="e">
        <f>'Job Planner'!AB77</f>
        <v>#VALUE!</v>
      </c>
      <c r="V77" s="16">
        <f>'Job Planner'!AE77</f>
        <v>0</v>
      </c>
      <c r="W77" s="16">
        <f>'Job Planner'!AF77</f>
        <v>0</v>
      </c>
      <c r="X77" s="16" t="e">
        <f>'Job Planner'!AG77</f>
        <v>#VALUE!</v>
      </c>
    </row>
    <row r="78" spans="1:24" x14ac:dyDescent="0.2">
      <c r="A78" s="5">
        <f>'Job Planner'!A78</f>
        <v>0</v>
      </c>
      <c r="B78" s="14">
        <f>'Job Planner'!B78</f>
        <v>0</v>
      </c>
      <c r="C78" s="13">
        <f>'Job Planner'!C78</f>
        <v>0</v>
      </c>
      <c r="D78" s="14">
        <f>'Job Planner'!D78</f>
        <v>0</v>
      </c>
      <c r="E78" s="13" t="str">
        <f>IF('Job Planner'!D78="GEOMETRY",'Job Planner'!E78,'Job Planner'!K78)</f>
        <v/>
      </c>
      <c r="F78" s="16">
        <f>'Job Planner'!F78</f>
        <v>0</v>
      </c>
      <c r="G78" s="16">
        <f>'Job Planner'!G78</f>
        <v>0</v>
      </c>
      <c r="H78" s="16" t="str">
        <f>'Job Planner'!I78</f>
        <v/>
      </c>
      <c r="I78" s="16" t="str">
        <f>'Job Planner'!J78</f>
        <v/>
      </c>
      <c r="J78" s="16" t="e">
        <f>'Job Planner'!N78</f>
        <v>#VALUE!</v>
      </c>
      <c r="K78" s="16" t="str">
        <f>IF(C78="BC",J78*'Mix Design'!$B$4,IF(C78="DBM",J78*'Mix Design'!$C$4,""))</f>
        <v/>
      </c>
      <c r="L78" s="16" t="str">
        <f>IF(C78="BC",J78*'Mix Design'!$B$5,IF(C78="DBM",J78*'Mix Design'!$C$5,""))</f>
        <v/>
      </c>
      <c r="M78" s="16" t="str">
        <f>IF(C78="BC",J78*'Mix Design'!$B$6,IF(C78="DBM",J78*'Mix Design'!$C$6,""))</f>
        <v/>
      </c>
      <c r="N78" s="16" t="str">
        <f>IF(C78="BC",J78*'Mix Design'!$B$7,IF(C78="DBM",J78*'Mix Design'!$C$7,""))</f>
        <v/>
      </c>
      <c r="O78" s="16" t="str">
        <f>IF(C78="BC",J78*'Mix Design'!$B$8,IF(C78="DBM",J78*'Mix Design'!$C$8,""))</f>
        <v/>
      </c>
      <c r="P78" s="16" t="str">
        <f>IF(C78="BC",J78*'Mix Design'!$B$9,IF(C78="DBM",J78*'Mix Design'!$C$9,""))</f>
        <v/>
      </c>
      <c r="Q78" s="16" t="e">
        <f>'Job Planner'!P78</f>
        <v>#VALUE!</v>
      </c>
      <c r="R78" s="16" t="e">
        <f>'Job Planner'!Q78</f>
        <v>#VALUE!</v>
      </c>
      <c r="S78" s="16" t="e">
        <f>'Job Planner'!S78</f>
        <v>#VALUE!</v>
      </c>
      <c r="T78" s="16" t="e">
        <f>'Job Planner'!Z78</f>
        <v>#VALUE!</v>
      </c>
      <c r="U78" s="16" t="e">
        <f>'Job Planner'!AB78</f>
        <v>#VALUE!</v>
      </c>
      <c r="V78" s="16">
        <f>'Job Planner'!AE78</f>
        <v>0</v>
      </c>
      <c r="W78" s="16">
        <f>'Job Planner'!AF78</f>
        <v>0</v>
      </c>
      <c r="X78" s="16" t="e">
        <f>'Job Planner'!AG78</f>
        <v>#VALUE!</v>
      </c>
    </row>
    <row r="79" spans="1:24" x14ac:dyDescent="0.2">
      <c r="A79" s="5">
        <f>'Job Planner'!A79</f>
        <v>0</v>
      </c>
      <c r="B79" s="14">
        <f>'Job Planner'!B79</f>
        <v>0</v>
      </c>
      <c r="C79" s="13">
        <f>'Job Planner'!C79</f>
        <v>0</v>
      </c>
      <c r="D79" s="14">
        <f>'Job Planner'!D79</f>
        <v>0</v>
      </c>
      <c r="E79" s="13" t="str">
        <f>IF('Job Planner'!D79="GEOMETRY",'Job Planner'!E79,'Job Planner'!K79)</f>
        <v/>
      </c>
      <c r="F79" s="16">
        <f>'Job Planner'!F79</f>
        <v>0</v>
      </c>
      <c r="G79" s="16">
        <f>'Job Planner'!G79</f>
        <v>0</v>
      </c>
      <c r="H79" s="16" t="str">
        <f>'Job Planner'!I79</f>
        <v/>
      </c>
      <c r="I79" s="16" t="str">
        <f>'Job Planner'!J79</f>
        <v/>
      </c>
      <c r="J79" s="16" t="e">
        <f>'Job Planner'!N79</f>
        <v>#VALUE!</v>
      </c>
      <c r="K79" s="16" t="str">
        <f>IF(C79="BC",J79*'Mix Design'!$B$4,IF(C79="DBM",J79*'Mix Design'!$C$4,""))</f>
        <v/>
      </c>
      <c r="L79" s="16" t="str">
        <f>IF(C79="BC",J79*'Mix Design'!$B$5,IF(C79="DBM",J79*'Mix Design'!$C$5,""))</f>
        <v/>
      </c>
      <c r="M79" s="16" t="str">
        <f>IF(C79="BC",J79*'Mix Design'!$B$6,IF(C79="DBM",J79*'Mix Design'!$C$6,""))</f>
        <v/>
      </c>
      <c r="N79" s="16" t="str">
        <f>IF(C79="BC",J79*'Mix Design'!$B$7,IF(C79="DBM",J79*'Mix Design'!$C$7,""))</f>
        <v/>
      </c>
      <c r="O79" s="16" t="str">
        <f>IF(C79="BC",J79*'Mix Design'!$B$8,IF(C79="DBM",J79*'Mix Design'!$C$8,""))</f>
        <v/>
      </c>
      <c r="P79" s="16" t="str">
        <f>IF(C79="BC",J79*'Mix Design'!$B$9,IF(C79="DBM",J79*'Mix Design'!$C$9,""))</f>
        <v/>
      </c>
      <c r="Q79" s="16" t="e">
        <f>'Job Planner'!P79</f>
        <v>#VALUE!</v>
      </c>
      <c r="R79" s="16" t="e">
        <f>'Job Planner'!Q79</f>
        <v>#VALUE!</v>
      </c>
      <c r="S79" s="16" t="e">
        <f>'Job Planner'!S79</f>
        <v>#VALUE!</v>
      </c>
      <c r="T79" s="16" t="e">
        <f>'Job Planner'!Z79</f>
        <v>#VALUE!</v>
      </c>
      <c r="U79" s="16" t="e">
        <f>'Job Planner'!AB79</f>
        <v>#VALUE!</v>
      </c>
      <c r="V79" s="16">
        <f>'Job Planner'!AE79</f>
        <v>0</v>
      </c>
      <c r="W79" s="16">
        <f>'Job Planner'!AF79</f>
        <v>0</v>
      </c>
      <c r="X79" s="16" t="e">
        <f>'Job Planner'!AG79</f>
        <v>#VALUE!</v>
      </c>
    </row>
    <row r="80" spans="1:24" x14ac:dyDescent="0.2">
      <c r="A80" s="5">
        <f>'Job Planner'!A80</f>
        <v>0</v>
      </c>
      <c r="B80" s="14">
        <f>'Job Planner'!B80</f>
        <v>0</v>
      </c>
      <c r="C80" s="13">
        <f>'Job Planner'!C80</f>
        <v>0</v>
      </c>
      <c r="D80" s="14">
        <f>'Job Planner'!D80</f>
        <v>0</v>
      </c>
      <c r="E80" s="13" t="str">
        <f>IF('Job Planner'!D80="GEOMETRY",'Job Planner'!E80,'Job Planner'!K80)</f>
        <v/>
      </c>
      <c r="F80" s="16">
        <f>'Job Planner'!F80</f>
        <v>0</v>
      </c>
      <c r="G80" s="16">
        <f>'Job Planner'!G80</f>
        <v>0</v>
      </c>
      <c r="H80" s="16" t="str">
        <f>'Job Planner'!I80</f>
        <v/>
      </c>
      <c r="I80" s="16" t="str">
        <f>'Job Planner'!J80</f>
        <v/>
      </c>
      <c r="J80" s="16" t="e">
        <f>'Job Planner'!N80</f>
        <v>#VALUE!</v>
      </c>
      <c r="K80" s="16" t="str">
        <f>IF(C80="BC",J80*'Mix Design'!$B$4,IF(C80="DBM",J80*'Mix Design'!$C$4,""))</f>
        <v/>
      </c>
      <c r="L80" s="16" t="str">
        <f>IF(C80="BC",J80*'Mix Design'!$B$5,IF(C80="DBM",J80*'Mix Design'!$C$5,""))</f>
        <v/>
      </c>
      <c r="M80" s="16" t="str">
        <f>IF(C80="BC",J80*'Mix Design'!$B$6,IF(C80="DBM",J80*'Mix Design'!$C$6,""))</f>
        <v/>
      </c>
      <c r="N80" s="16" t="str">
        <f>IF(C80="BC",J80*'Mix Design'!$B$7,IF(C80="DBM",J80*'Mix Design'!$C$7,""))</f>
        <v/>
      </c>
      <c r="O80" s="16" t="str">
        <f>IF(C80="BC",J80*'Mix Design'!$B$8,IF(C80="DBM",J80*'Mix Design'!$C$8,""))</f>
        <v/>
      </c>
      <c r="P80" s="16" t="str">
        <f>IF(C80="BC",J80*'Mix Design'!$B$9,IF(C80="DBM",J80*'Mix Design'!$C$9,""))</f>
        <v/>
      </c>
      <c r="Q80" s="16" t="e">
        <f>'Job Planner'!P80</f>
        <v>#VALUE!</v>
      </c>
      <c r="R80" s="16" t="e">
        <f>'Job Planner'!Q80</f>
        <v>#VALUE!</v>
      </c>
      <c r="S80" s="16" t="e">
        <f>'Job Planner'!S80</f>
        <v>#VALUE!</v>
      </c>
      <c r="T80" s="16" t="e">
        <f>'Job Planner'!Z80</f>
        <v>#VALUE!</v>
      </c>
      <c r="U80" s="16" t="e">
        <f>'Job Planner'!AB80</f>
        <v>#VALUE!</v>
      </c>
      <c r="V80" s="16">
        <f>'Job Planner'!AE80</f>
        <v>0</v>
      </c>
      <c r="W80" s="16">
        <f>'Job Planner'!AF80</f>
        <v>0</v>
      </c>
      <c r="X80" s="16" t="e">
        <f>'Job Planner'!AG80</f>
        <v>#VALUE!</v>
      </c>
    </row>
    <row r="81" spans="1:24" x14ac:dyDescent="0.2">
      <c r="A81" s="5">
        <f>'Job Planner'!A81</f>
        <v>0</v>
      </c>
      <c r="B81" s="14">
        <f>'Job Planner'!B81</f>
        <v>0</v>
      </c>
      <c r="C81" s="13">
        <f>'Job Planner'!C81</f>
        <v>0</v>
      </c>
      <c r="D81" s="14">
        <f>'Job Planner'!D81</f>
        <v>0</v>
      </c>
      <c r="E81" s="13" t="str">
        <f>IF('Job Planner'!D81="GEOMETRY",'Job Planner'!E81,'Job Planner'!K81)</f>
        <v/>
      </c>
      <c r="F81" s="16">
        <f>'Job Planner'!F81</f>
        <v>0</v>
      </c>
      <c r="G81" s="16">
        <f>'Job Planner'!G81</f>
        <v>0</v>
      </c>
      <c r="H81" s="16" t="str">
        <f>'Job Planner'!I81</f>
        <v/>
      </c>
      <c r="I81" s="16" t="str">
        <f>'Job Planner'!J81</f>
        <v/>
      </c>
      <c r="J81" s="16" t="e">
        <f>'Job Planner'!N81</f>
        <v>#VALUE!</v>
      </c>
      <c r="K81" s="16" t="str">
        <f>IF(C81="BC",J81*'Mix Design'!$B$4,IF(C81="DBM",J81*'Mix Design'!$C$4,""))</f>
        <v/>
      </c>
      <c r="L81" s="16" t="str">
        <f>IF(C81="BC",J81*'Mix Design'!$B$5,IF(C81="DBM",J81*'Mix Design'!$C$5,""))</f>
        <v/>
      </c>
      <c r="M81" s="16" t="str">
        <f>IF(C81="BC",J81*'Mix Design'!$B$6,IF(C81="DBM",J81*'Mix Design'!$C$6,""))</f>
        <v/>
      </c>
      <c r="N81" s="16" t="str">
        <f>IF(C81="BC",J81*'Mix Design'!$B$7,IF(C81="DBM",J81*'Mix Design'!$C$7,""))</f>
        <v/>
      </c>
      <c r="O81" s="16" t="str">
        <f>IF(C81="BC",J81*'Mix Design'!$B$8,IF(C81="DBM",J81*'Mix Design'!$C$8,""))</f>
        <v/>
      </c>
      <c r="P81" s="16" t="str">
        <f>IF(C81="BC",J81*'Mix Design'!$B$9,IF(C81="DBM",J81*'Mix Design'!$C$9,""))</f>
        <v/>
      </c>
      <c r="Q81" s="16" t="e">
        <f>'Job Planner'!P81</f>
        <v>#VALUE!</v>
      </c>
      <c r="R81" s="16" t="e">
        <f>'Job Planner'!Q81</f>
        <v>#VALUE!</v>
      </c>
      <c r="S81" s="16" t="e">
        <f>'Job Planner'!S81</f>
        <v>#VALUE!</v>
      </c>
      <c r="T81" s="16" t="e">
        <f>'Job Planner'!Z81</f>
        <v>#VALUE!</v>
      </c>
      <c r="U81" s="16" t="e">
        <f>'Job Planner'!AB81</f>
        <v>#VALUE!</v>
      </c>
      <c r="V81" s="16">
        <f>'Job Planner'!AE81</f>
        <v>0</v>
      </c>
      <c r="W81" s="16">
        <f>'Job Planner'!AF81</f>
        <v>0</v>
      </c>
      <c r="X81" s="16" t="e">
        <f>'Job Planner'!AG81</f>
        <v>#VALUE!</v>
      </c>
    </row>
    <row r="82" spans="1:24" x14ac:dyDescent="0.2">
      <c r="A82" s="5">
        <f>'Job Planner'!A82</f>
        <v>0</v>
      </c>
      <c r="B82" s="14">
        <f>'Job Planner'!B82</f>
        <v>0</v>
      </c>
      <c r="C82" s="13">
        <f>'Job Planner'!C82</f>
        <v>0</v>
      </c>
      <c r="D82" s="14">
        <f>'Job Planner'!D82</f>
        <v>0</v>
      </c>
      <c r="E82" s="13" t="str">
        <f>IF('Job Planner'!D82="GEOMETRY",'Job Planner'!E82,'Job Planner'!K82)</f>
        <v/>
      </c>
      <c r="F82" s="16">
        <f>'Job Planner'!F82</f>
        <v>0</v>
      </c>
      <c r="G82" s="16">
        <f>'Job Planner'!G82</f>
        <v>0</v>
      </c>
      <c r="H82" s="16" t="str">
        <f>'Job Planner'!I82</f>
        <v/>
      </c>
      <c r="I82" s="16" t="str">
        <f>'Job Planner'!J82</f>
        <v/>
      </c>
      <c r="J82" s="16" t="e">
        <f>'Job Planner'!N82</f>
        <v>#VALUE!</v>
      </c>
      <c r="K82" s="16" t="str">
        <f>IF(C82="BC",J82*'Mix Design'!$B$4,IF(C82="DBM",J82*'Mix Design'!$C$4,""))</f>
        <v/>
      </c>
      <c r="L82" s="16" t="str">
        <f>IF(C82="BC",J82*'Mix Design'!$B$5,IF(C82="DBM",J82*'Mix Design'!$C$5,""))</f>
        <v/>
      </c>
      <c r="M82" s="16" t="str">
        <f>IF(C82="BC",J82*'Mix Design'!$B$6,IF(C82="DBM",J82*'Mix Design'!$C$6,""))</f>
        <v/>
      </c>
      <c r="N82" s="16" t="str">
        <f>IF(C82="BC",J82*'Mix Design'!$B$7,IF(C82="DBM",J82*'Mix Design'!$C$7,""))</f>
        <v/>
      </c>
      <c r="O82" s="16" t="str">
        <f>IF(C82="BC",J82*'Mix Design'!$B$8,IF(C82="DBM",J82*'Mix Design'!$C$8,""))</f>
        <v/>
      </c>
      <c r="P82" s="16" t="str">
        <f>IF(C82="BC",J82*'Mix Design'!$B$9,IF(C82="DBM",J82*'Mix Design'!$C$9,""))</f>
        <v/>
      </c>
      <c r="Q82" s="16" t="e">
        <f>'Job Planner'!P82</f>
        <v>#VALUE!</v>
      </c>
      <c r="R82" s="16" t="e">
        <f>'Job Planner'!Q82</f>
        <v>#VALUE!</v>
      </c>
      <c r="S82" s="16" t="e">
        <f>'Job Planner'!S82</f>
        <v>#VALUE!</v>
      </c>
      <c r="T82" s="16" t="e">
        <f>'Job Planner'!Z82</f>
        <v>#VALUE!</v>
      </c>
      <c r="U82" s="16" t="e">
        <f>'Job Planner'!AB82</f>
        <v>#VALUE!</v>
      </c>
      <c r="V82" s="16">
        <f>'Job Planner'!AE82</f>
        <v>0</v>
      </c>
      <c r="W82" s="16">
        <f>'Job Planner'!AF82</f>
        <v>0</v>
      </c>
      <c r="X82" s="16" t="e">
        <f>'Job Planner'!AG82</f>
        <v>#VALUE!</v>
      </c>
    </row>
    <row r="83" spans="1:24" x14ac:dyDescent="0.2">
      <c r="A83" s="5">
        <f>'Job Planner'!A83</f>
        <v>0</v>
      </c>
      <c r="B83" s="14">
        <f>'Job Planner'!B83</f>
        <v>0</v>
      </c>
      <c r="C83" s="13">
        <f>'Job Planner'!C83</f>
        <v>0</v>
      </c>
      <c r="D83" s="14">
        <f>'Job Planner'!D83</f>
        <v>0</v>
      </c>
      <c r="E83" s="13" t="str">
        <f>IF('Job Planner'!D83="GEOMETRY",'Job Planner'!E83,'Job Planner'!K83)</f>
        <v/>
      </c>
      <c r="F83" s="16">
        <f>'Job Planner'!F83</f>
        <v>0</v>
      </c>
      <c r="G83" s="16">
        <f>'Job Planner'!G83</f>
        <v>0</v>
      </c>
      <c r="H83" s="16" t="str">
        <f>'Job Planner'!I83</f>
        <v/>
      </c>
      <c r="I83" s="16" t="str">
        <f>'Job Planner'!J83</f>
        <v/>
      </c>
      <c r="J83" s="16" t="e">
        <f>'Job Planner'!N83</f>
        <v>#VALUE!</v>
      </c>
      <c r="K83" s="16" t="str">
        <f>IF(C83="BC",J83*'Mix Design'!$B$4,IF(C83="DBM",J83*'Mix Design'!$C$4,""))</f>
        <v/>
      </c>
      <c r="L83" s="16" t="str">
        <f>IF(C83="BC",J83*'Mix Design'!$B$5,IF(C83="DBM",J83*'Mix Design'!$C$5,""))</f>
        <v/>
      </c>
      <c r="M83" s="16" t="str">
        <f>IF(C83="BC",J83*'Mix Design'!$B$6,IF(C83="DBM",J83*'Mix Design'!$C$6,""))</f>
        <v/>
      </c>
      <c r="N83" s="16" t="str">
        <f>IF(C83="BC",J83*'Mix Design'!$B$7,IF(C83="DBM",J83*'Mix Design'!$C$7,""))</f>
        <v/>
      </c>
      <c r="O83" s="16" t="str">
        <f>IF(C83="BC",J83*'Mix Design'!$B$8,IF(C83="DBM",J83*'Mix Design'!$C$8,""))</f>
        <v/>
      </c>
      <c r="P83" s="16" t="str">
        <f>IF(C83="BC",J83*'Mix Design'!$B$9,IF(C83="DBM",J83*'Mix Design'!$C$9,""))</f>
        <v/>
      </c>
      <c r="Q83" s="16" t="e">
        <f>'Job Planner'!P83</f>
        <v>#VALUE!</v>
      </c>
      <c r="R83" s="16" t="e">
        <f>'Job Planner'!Q83</f>
        <v>#VALUE!</v>
      </c>
      <c r="S83" s="16" t="e">
        <f>'Job Planner'!S83</f>
        <v>#VALUE!</v>
      </c>
      <c r="T83" s="16" t="e">
        <f>'Job Planner'!Z83</f>
        <v>#VALUE!</v>
      </c>
      <c r="U83" s="16" t="e">
        <f>'Job Planner'!AB83</f>
        <v>#VALUE!</v>
      </c>
      <c r="V83" s="16">
        <f>'Job Planner'!AE83</f>
        <v>0</v>
      </c>
      <c r="W83" s="16">
        <f>'Job Planner'!AF83</f>
        <v>0</v>
      </c>
      <c r="X83" s="16" t="e">
        <f>'Job Planner'!AG83</f>
        <v>#VALUE!</v>
      </c>
    </row>
    <row r="84" spans="1:24" x14ac:dyDescent="0.2">
      <c r="A84" s="5">
        <f>'Job Planner'!A84</f>
        <v>0</v>
      </c>
      <c r="B84" s="14">
        <f>'Job Planner'!B84</f>
        <v>0</v>
      </c>
      <c r="C84" s="13">
        <f>'Job Planner'!C84</f>
        <v>0</v>
      </c>
      <c r="D84" s="14">
        <f>'Job Planner'!D84</f>
        <v>0</v>
      </c>
      <c r="E84" s="13" t="str">
        <f>IF('Job Planner'!D84="GEOMETRY",'Job Planner'!E84,'Job Planner'!K84)</f>
        <v/>
      </c>
      <c r="F84" s="16">
        <f>'Job Planner'!F84</f>
        <v>0</v>
      </c>
      <c r="G84" s="16">
        <f>'Job Planner'!G84</f>
        <v>0</v>
      </c>
      <c r="H84" s="16" t="str">
        <f>'Job Planner'!I84</f>
        <v/>
      </c>
      <c r="I84" s="16" t="str">
        <f>'Job Planner'!J84</f>
        <v/>
      </c>
      <c r="J84" s="16" t="e">
        <f>'Job Planner'!N84</f>
        <v>#VALUE!</v>
      </c>
      <c r="K84" s="16" t="str">
        <f>IF(C84="BC",J84*'Mix Design'!$B$4,IF(C84="DBM",J84*'Mix Design'!$C$4,""))</f>
        <v/>
      </c>
      <c r="L84" s="16" t="str">
        <f>IF(C84="BC",J84*'Mix Design'!$B$5,IF(C84="DBM",J84*'Mix Design'!$C$5,""))</f>
        <v/>
      </c>
      <c r="M84" s="16" t="str">
        <f>IF(C84="BC",J84*'Mix Design'!$B$6,IF(C84="DBM",J84*'Mix Design'!$C$6,""))</f>
        <v/>
      </c>
      <c r="N84" s="16" t="str">
        <f>IF(C84="BC",J84*'Mix Design'!$B$7,IF(C84="DBM",J84*'Mix Design'!$C$7,""))</f>
        <v/>
      </c>
      <c r="O84" s="16" t="str">
        <f>IF(C84="BC",J84*'Mix Design'!$B$8,IF(C84="DBM",J84*'Mix Design'!$C$8,""))</f>
        <v/>
      </c>
      <c r="P84" s="16" t="str">
        <f>IF(C84="BC",J84*'Mix Design'!$B$9,IF(C84="DBM",J84*'Mix Design'!$C$9,""))</f>
        <v/>
      </c>
      <c r="Q84" s="16" t="e">
        <f>'Job Planner'!P84</f>
        <v>#VALUE!</v>
      </c>
      <c r="R84" s="16" t="e">
        <f>'Job Planner'!Q84</f>
        <v>#VALUE!</v>
      </c>
      <c r="S84" s="16" t="e">
        <f>'Job Planner'!S84</f>
        <v>#VALUE!</v>
      </c>
      <c r="T84" s="16" t="e">
        <f>'Job Planner'!Z84</f>
        <v>#VALUE!</v>
      </c>
      <c r="U84" s="16" t="e">
        <f>'Job Planner'!AB84</f>
        <v>#VALUE!</v>
      </c>
      <c r="V84" s="16">
        <f>'Job Planner'!AE84</f>
        <v>0</v>
      </c>
      <c r="W84" s="16">
        <f>'Job Planner'!AF84</f>
        <v>0</v>
      </c>
      <c r="X84" s="16" t="e">
        <f>'Job Planner'!AG84</f>
        <v>#VALUE!</v>
      </c>
    </row>
    <row r="85" spans="1:24" x14ac:dyDescent="0.2">
      <c r="A85" s="5">
        <f>'Job Planner'!A85</f>
        <v>0</v>
      </c>
      <c r="B85" s="14">
        <f>'Job Planner'!B85</f>
        <v>0</v>
      </c>
      <c r="C85" s="13">
        <f>'Job Planner'!C85</f>
        <v>0</v>
      </c>
      <c r="D85" s="14">
        <f>'Job Planner'!D85</f>
        <v>0</v>
      </c>
      <c r="E85" s="13" t="str">
        <f>IF('Job Planner'!D85="GEOMETRY",'Job Planner'!E85,'Job Planner'!K85)</f>
        <v/>
      </c>
      <c r="F85" s="16">
        <f>'Job Planner'!F85</f>
        <v>0</v>
      </c>
      <c r="G85" s="16">
        <f>'Job Planner'!G85</f>
        <v>0</v>
      </c>
      <c r="H85" s="16" t="str">
        <f>'Job Planner'!I85</f>
        <v/>
      </c>
      <c r="I85" s="16" t="str">
        <f>'Job Planner'!J85</f>
        <v/>
      </c>
      <c r="J85" s="16" t="e">
        <f>'Job Planner'!N85</f>
        <v>#VALUE!</v>
      </c>
      <c r="K85" s="16" t="str">
        <f>IF(C85="BC",J85*'Mix Design'!$B$4,IF(C85="DBM",J85*'Mix Design'!$C$4,""))</f>
        <v/>
      </c>
      <c r="L85" s="16" t="str">
        <f>IF(C85="BC",J85*'Mix Design'!$B$5,IF(C85="DBM",J85*'Mix Design'!$C$5,""))</f>
        <v/>
      </c>
      <c r="M85" s="16" t="str">
        <f>IF(C85="BC",J85*'Mix Design'!$B$6,IF(C85="DBM",J85*'Mix Design'!$C$6,""))</f>
        <v/>
      </c>
      <c r="N85" s="16" t="str">
        <f>IF(C85="BC",J85*'Mix Design'!$B$7,IF(C85="DBM",J85*'Mix Design'!$C$7,""))</f>
        <v/>
      </c>
      <c r="O85" s="16" t="str">
        <f>IF(C85="BC",J85*'Mix Design'!$B$8,IF(C85="DBM",J85*'Mix Design'!$C$8,""))</f>
        <v/>
      </c>
      <c r="P85" s="16" t="str">
        <f>IF(C85="BC",J85*'Mix Design'!$B$9,IF(C85="DBM",J85*'Mix Design'!$C$9,""))</f>
        <v/>
      </c>
      <c r="Q85" s="16" t="e">
        <f>'Job Planner'!P85</f>
        <v>#VALUE!</v>
      </c>
      <c r="R85" s="16" t="e">
        <f>'Job Planner'!Q85</f>
        <v>#VALUE!</v>
      </c>
      <c r="S85" s="16" t="e">
        <f>'Job Planner'!S85</f>
        <v>#VALUE!</v>
      </c>
      <c r="T85" s="16" t="e">
        <f>'Job Planner'!Z85</f>
        <v>#VALUE!</v>
      </c>
      <c r="U85" s="16" t="e">
        <f>'Job Planner'!AB85</f>
        <v>#VALUE!</v>
      </c>
      <c r="V85" s="16">
        <f>'Job Planner'!AE85</f>
        <v>0</v>
      </c>
      <c r="W85" s="16">
        <f>'Job Planner'!AF85</f>
        <v>0</v>
      </c>
      <c r="X85" s="16" t="e">
        <f>'Job Planner'!AG85</f>
        <v>#VALUE!</v>
      </c>
    </row>
    <row r="86" spans="1:24" x14ac:dyDescent="0.2">
      <c r="A86" s="5">
        <f>'Job Planner'!A86</f>
        <v>0</v>
      </c>
      <c r="B86" s="14">
        <f>'Job Planner'!B86</f>
        <v>0</v>
      </c>
      <c r="C86" s="13">
        <f>'Job Planner'!C86</f>
        <v>0</v>
      </c>
      <c r="D86" s="14">
        <f>'Job Planner'!D86</f>
        <v>0</v>
      </c>
      <c r="E86" s="13" t="str">
        <f>IF('Job Planner'!D86="GEOMETRY",'Job Planner'!E86,'Job Planner'!K86)</f>
        <v/>
      </c>
      <c r="F86" s="16">
        <f>'Job Planner'!F86</f>
        <v>0</v>
      </c>
      <c r="G86" s="16">
        <f>'Job Planner'!G86</f>
        <v>0</v>
      </c>
      <c r="H86" s="16" t="str">
        <f>'Job Planner'!I86</f>
        <v/>
      </c>
      <c r="I86" s="16" t="str">
        <f>'Job Planner'!J86</f>
        <v/>
      </c>
      <c r="J86" s="16" t="e">
        <f>'Job Planner'!N86</f>
        <v>#VALUE!</v>
      </c>
      <c r="K86" s="16" t="str">
        <f>IF(C86="BC",J86*'Mix Design'!$B$4,IF(C86="DBM",J86*'Mix Design'!$C$4,""))</f>
        <v/>
      </c>
      <c r="L86" s="16" t="str">
        <f>IF(C86="BC",J86*'Mix Design'!$B$5,IF(C86="DBM",J86*'Mix Design'!$C$5,""))</f>
        <v/>
      </c>
      <c r="M86" s="16" t="str">
        <f>IF(C86="BC",J86*'Mix Design'!$B$6,IF(C86="DBM",J86*'Mix Design'!$C$6,""))</f>
        <v/>
      </c>
      <c r="N86" s="16" t="str">
        <f>IF(C86="BC",J86*'Mix Design'!$B$7,IF(C86="DBM",J86*'Mix Design'!$C$7,""))</f>
        <v/>
      </c>
      <c r="O86" s="16" t="str">
        <f>IF(C86="BC",J86*'Mix Design'!$B$8,IF(C86="DBM",J86*'Mix Design'!$C$8,""))</f>
        <v/>
      </c>
      <c r="P86" s="16" t="str">
        <f>IF(C86="BC",J86*'Mix Design'!$B$9,IF(C86="DBM",J86*'Mix Design'!$C$9,""))</f>
        <v/>
      </c>
      <c r="Q86" s="16" t="e">
        <f>'Job Planner'!P86</f>
        <v>#VALUE!</v>
      </c>
      <c r="R86" s="16" t="e">
        <f>'Job Planner'!Q86</f>
        <v>#VALUE!</v>
      </c>
      <c r="S86" s="16" t="e">
        <f>'Job Planner'!S86</f>
        <v>#VALUE!</v>
      </c>
      <c r="T86" s="16" t="e">
        <f>'Job Planner'!Z86</f>
        <v>#VALUE!</v>
      </c>
      <c r="U86" s="16" t="e">
        <f>'Job Planner'!AB86</f>
        <v>#VALUE!</v>
      </c>
      <c r="V86" s="16">
        <f>'Job Planner'!AE86</f>
        <v>0</v>
      </c>
      <c r="W86" s="16">
        <f>'Job Planner'!AF86</f>
        <v>0</v>
      </c>
      <c r="X86" s="16" t="e">
        <f>'Job Planner'!AG86</f>
        <v>#VALUE!</v>
      </c>
    </row>
    <row r="87" spans="1:24" x14ac:dyDescent="0.2">
      <c r="A87" s="5">
        <f>'Job Planner'!A87</f>
        <v>0</v>
      </c>
      <c r="B87" s="14">
        <f>'Job Planner'!B87</f>
        <v>0</v>
      </c>
      <c r="C87" s="13">
        <f>'Job Planner'!C87</f>
        <v>0</v>
      </c>
      <c r="D87" s="14">
        <f>'Job Planner'!D87</f>
        <v>0</v>
      </c>
      <c r="E87" s="13" t="str">
        <f>IF('Job Planner'!D87="GEOMETRY",'Job Planner'!E87,'Job Planner'!K87)</f>
        <v/>
      </c>
      <c r="F87" s="16">
        <f>'Job Planner'!F87</f>
        <v>0</v>
      </c>
      <c r="G87" s="16">
        <f>'Job Planner'!G87</f>
        <v>0</v>
      </c>
      <c r="H87" s="16" t="str">
        <f>'Job Planner'!I87</f>
        <v/>
      </c>
      <c r="I87" s="16" t="str">
        <f>'Job Planner'!J87</f>
        <v/>
      </c>
      <c r="J87" s="16" t="e">
        <f>'Job Planner'!N87</f>
        <v>#VALUE!</v>
      </c>
      <c r="K87" s="16" t="str">
        <f>IF(C87="BC",J87*'Mix Design'!$B$4,IF(C87="DBM",J87*'Mix Design'!$C$4,""))</f>
        <v/>
      </c>
      <c r="L87" s="16" t="str">
        <f>IF(C87="BC",J87*'Mix Design'!$B$5,IF(C87="DBM",J87*'Mix Design'!$C$5,""))</f>
        <v/>
      </c>
      <c r="M87" s="16" t="str">
        <f>IF(C87="BC",J87*'Mix Design'!$B$6,IF(C87="DBM",J87*'Mix Design'!$C$6,""))</f>
        <v/>
      </c>
      <c r="N87" s="16" t="str">
        <f>IF(C87="BC",J87*'Mix Design'!$B$7,IF(C87="DBM",J87*'Mix Design'!$C$7,""))</f>
        <v/>
      </c>
      <c r="O87" s="16" t="str">
        <f>IF(C87="BC",J87*'Mix Design'!$B$8,IF(C87="DBM",J87*'Mix Design'!$C$8,""))</f>
        <v/>
      </c>
      <c r="P87" s="16" t="str">
        <f>IF(C87="BC",J87*'Mix Design'!$B$9,IF(C87="DBM",J87*'Mix Design'!$C$9,""))</f>
        <v/>
      </c>
      <c r="Q87" s="16" t="e">
        <f>'Job Planner'!P87</f>
        <v>#VALUE!</v>
      </c>
      <c r="R87" s="16" t="e">
        <f>'Job Planner'!Q87</f>
        <v>#VALUE!</v>
      </c>
      <c r="S87" s="16" t="e">
        <f>'Job Planner'!S87</f>
        <v>#VALUE!</v>
      </c>
      <c r="T87" s="16" t="e">
        <f>'Job Planner'!Z87</f>
        <v>#VALUE!</v>
      </c>
      <c r="U87" s="16" t="e">
        <f>'Job Planner'!AB87</f>
        <v>#VALUE!</v>
      </c>
      <c r="V87" s="16">
        <f>'Job Planner'!AE87</f>
        <v>0</v>
      </c>
      <c r="W87" s="16">
        <f>'Job Planner'!AF87</f>
        <v>0</v>
      </c>
      <c r="X87" s="16" t="e">
        <f>'Job Planner'!AG87</f>
        <v>#VALUE!</v>
      </c>
    </row>
    <row r="88" spans="1:24" x14ac:dyDescent="0.2">
      <c r="A88" s="5">
        <f>'Job Planner'!A88</f>
        <v>0</v>
      </c>
      <c r="B88" s="14">
        <f>'Job Planner'!B88</f>
        <v>0</v>
      </c>
      <c r="C88" s="13">
        <f>'Job Planner'!C88</f>
        <v>0</v>
      </c>
      <c r="D88" s="14">
        <f>'Job Planner'!D88</f>
        <v>0</v>
      </c>
      <c r="E88" s="13" t="str">
        <f>IF('Job Planner'!D88="GEOMETRY",'Job Planner'!E88,'Job Planner'!K88)</f>
        <v/>
      </c>
      <c r="F88" s="16">
        <f>'Job Planner'!F88</f>
        <v>0</v>
      </c>
      <c r="G88" s="16">
        <f>'Job Planner'!G88</f>
        <v>0</v>
      </c>
      <c r="H88" s="16" t="str">
        <f>'Job Planner'!I88</f>
        <v/>
      </c>
      <c r="I88" s="16" t="str">
        <f>'Job Planner'!J88</f>
        <v/>
      </c>
      <c r="J88" s="16" t="e">
        <f>'Job Planner'!N88</f>
        <v>#VALUE!</v>
      </c>
      <c r="K88" s="16" t="str">
        <f>IF(C88="BC",J88*'Mix Design'!$B$4,IF(C88="DBM",J88*'Mix Design'!$C$4,""))</f>
        <v/>
      </c>
      <c r="L88" s="16" t="str">
        <f>IF(C88="BC",J88*'Mix Design'!$B$5,IF(C88="DBM",J88*'Mix Design'!$C$5,""))</f>
        <v/>
      </c>
      <c r="M88" s="16" t="str">
        <f>IF(C88="BC",J88*'Mix Design'!$B$6,IF(C88="DBM",J88*'Mix Design'!$C$6,""))</f>
        <v/>
      </c>
      <c r="N88" s="16" t="str">
        <f>IF(C88="BC",J88*'Mix Design'!$B$7,IF(C88="DBM",J88*'Mix Design'!$C$7,""))</f>
        <v/>
      </c>
      <c r="O88" s="16" t="str">
        <f>IF(C88="BC",J88*'Mix Design'!$B$8,IF(C88="DBM",J88*'Mix Design'!$C$8,""))</f>
        <v/>
      </c>
      <c r="P88" s="16" t="str">
        <f>IF(C88="BC",J88*'Mix Design'!$B$9,IF(C88="DBM",J88*'Mix Design'!$C$9,""))</f>
        <v/>
      </c>
      <c r="Q88" s="16" t="e">
        <f>'Job Planner'!P88</f>
        <v>#VALUE!</v>
      </c>
      <c r="R88" s="16" t="e">
        <f>'Job Planner'!Q88</f>
        <v>#VALUE!</v>
      </c>
      <c r="S88" s="16" t="e">
        <f>'Job Planner'!S88</f>
        <v>#VALUE!</v>
      </c>
      <c r="T88" s="16" t="e">
        <f>'Job Planner'!Z88</f>
        <v>#VALUE!</v>
      </c>
      <c r="U88" s="16" t="e">
        <f>'Job Planner'!AB88</f>
        <v>#VALUE!</v>
      </c>
      <c r="V88" s="16">
        <f>'Job Planner'!AE88</f>
        <v>0</v>
      </c>
      <c r="W88" s="16">
        <f>'Job Planner'!AF88</f>
        <v>0</v>
      </c>
      <c r="X88" s="16" t="e">
        <f>'Job Planner'!AG88</f>
        <v>#VALUE!</v>
      </c>
    </row>
    <row r="89" spans="1:24" x14ac:dyDescent="0.2">
      <c r="A89" s="5">
        <f>'Job Planner'!A89</f>
        <v>0</v>
      </c>
      <c r="B89" s="14">
        <f>'Job Planner'!B89</f>
        <v>0</v>
      </c>
      <c r="C89" s="13">
        <f>'Job Planner'!C89</f>
        <v>0</v>
      </c>
      <c r="D89" s="14">
        <f>'Job Planner'!D89</f>
        <v>0</v>
      </c>
      <c r="E89" s="13" t="str">
        <f>IF('Job Planner'!D89="GEOMETRY",'Job Planner'!E89,'Job Planner'!K89)</f>
        <v/>
      </c>
      <c r="F89" s="16">
        <f>'Job Planner'!F89</f>
        <v>0</v>
      </c>
      <c r="G89" s="16">
        <f>'Job Planner'!G89</f>
        <v>0</v>
      </c>
      <c r="H89" s="16" t="str">
        <f>'Job Planner'!I89</f>
        <v/>
      </c>
      <c r="I89" s="16" t="str">
        <f>'Job Planner'!J89</f>
        <v/>
      </c>
      <c r="J89" s="16" t="e">
        <f>'Job Planner'!N89</f>
        <v>#VALUE!</v>
      </c>
      <c r="K89" s="16" t="str">
        <f>IF(C89="BC",J89*'Mix Design'!$B$4,IF(C89="DBM",J89*'Mix Design'!$C$4,""))</f>
        <v/>
      </c>
      <c r="L89" s="16" t="str">
        <f>IF(C89="BC",J89*'Mix Design'!$B$5,IF(C89="DBM",J89*'Mix Design'!$C$5,""))</f>
        <v/>
      </c>
      <c r="M89" s="16" t="str">
        <f>IF(C89="BC",J89*'Mix Design'!$B$6,IF(C89="DBM",J89*'Mix Design'!$C$6,""))</f>
        <v/>
      </c>
      <c r="N89" s="16" t="str">
        <f>IF(C89="BC",J89*'Mix Design'!$B$7,IF(C89="DBM",J89*'Mix Design'!$C$7,""))</f>
        <v/>
      </c>
      <c r="O89" s="16" t="str">
        <f>IF(C89="BC",J89*'Mix Design'!$B$8,IF(C89="DBM",J89*'Mix Design'!$C$8,""))</f>
        <v/>
      </c>
      <c r="P89" s="16" t="str">
        <f>IF(C89="BC",J89*'Mix Design'!$B$9,IF(C89="DBM",J89*'Mix Design'!$C$9,""))</f>
        <v/>
      </c>
      <c r="Q89" s="16" t="e">
        <f>'Job Planner'!P89</f>
        <v>#VALUE!</v>
      </c>
      <c r="R89" s="16" t="e">
        <f>'Job Planner'!Q89</f>
        <v>#VALUE!</v>
      </c>
      <c r="S89" s="16" t="e">
        <f>'Job Planner'!S89</f>
        <v>#VALUE!</v>
      </c>
      <c r="T89" s="16" t="e">
        <f>'Job Planner'!Z89</f>
        <v>#VALUE!</v>
      </c>
      <c r="U89" s="16" t="e">
        <f>'Job Planner'!AB89</f>
        <v>#VALUE!</v>
      </c>
      <c r="V89" s="16">
        <f>'Job Planner'!AE89</f>
        <v>0</v>
      </c>
      <c r="W89" s="16">
        <f>'Job Planner'!AF89</f>
        <v>0</v>
      </c>
      <c r="X89" s="16" t="e">
        <f>'Job Planner'!AG89</f>
        <v>#VALUE!</v>
      </c>
    </row>
    <row r="90" spans="1:24" x14ac:dyDescent="0.2">
      <c r="A90" s="5">
        <f>'Job Planner'!A90</f>
        <v>0</v>
      </c>
      <c r="B90" s="14">
        <f>'Job Planner'!B90</f>
        <v>0</v>
      </c>
      <c r="C90" s="13">
        <f>'Job Planner'!C90</f>
        <v>0</v>
      </c>
      <c r="D90" s="14">
        <f>'Job Planner'!D90</f>
        <v>0</v>
      </c>
      <c r="E90" s="13" t="str">
        <f>IF('Job Planner'!D90="GEOMETRY",'Job Planner'!E90,'Job Planner'!K90)</f>
        <v/>
      </c>
      <c r="F90" s="16">
        <f>'Job Planner'!F90</f>
        <v>0</v>
      </c>
      <c r="G90" s="16">
        <f>'Job Planner'!G90</f>
        <v>0</v>
      </c>
      <c r="H90" s="16" t="str">
        <f>'Job Planner'!I90</f>
        <v/>
      </c>
      <c r="I90" s="16" t="str">
        <f>'Job Planner'!J90</f>
        <v/>
      </c>
      <c r="J90" s="16" t="e">
        <f>'Job Planner'!N90</f>
        <v>#VALUE!</v>
      </c>
      <c r="K90" s="16" t="str">
        <f>IF(C90="BC",J90*'Mix Design'!$B$4,IF(C90="DBM",J90*'Mix Design'!$C$4,""))</f>
        <v/>
      </c>
      <c r="L90" s="16" t="str">
        <f>IF(C90="BC",J90*'Mix Design'!$B$5,IF(C90="DBM",J90*'Mix Design'!$C$5,""))</f>
        <v/>
      </c>
      <c r="M90" s="16" t="str">
        <f>IF(C90="BC",J90*'Mix Design'!$B$6,IF(C90="DBM",J90*'Mix Design'!$C$6,""))</f>
        <v/>
      </c>
      <c r="N90" s="16" t="str">
        <f>IF(C90="BC",J90*'Mix Design'!$B$7,IF(C90="DBM",J90*'Mix Design'!$C$7,""))</f>
        <v/>
      </c>
      <c r="O90" s="16" t="str">
        <f>IF(C90="BC",J90*'Mix Design'!$B$8,IF(C90="DBM",J90*'Mix Design'!$C$8,""))</f>
        <v/>
      </c>
      <c r="P90" s="16" t="str">
        <f>IF(C90="BC",J90*'Mix Design'!$B$9,IF(C90="DBM",J90*'Mix Design'!$C$9,""))</f>
        <v/>
      </c>
      <c r="Q90" s="16" t="e">
        <f>'Job Planner'!P90</f>
        <v>#VALUE!</v>
      </c>
      <c r="R90" s="16" t="e">
        <f>'Job Planner'!Q90</f>
        <v>#VALUE!</v>
      </c>
      <c r="S90" s="16" t="e">
        <f>'Job Planner'!S90</f>
        <v>#VALUE!</v>
      </c>
      <c r="T90" s="16" t="e">
        <f>'Job Planner'!Z90</f>
        <v>#VALUE!</v>
      </c>
      <c r="U90" s="16" t="e">
        <f>'Job Planner'!AB90</f>
        <v>#VALUE!</v>
      </c>
      <c r="V90" s="16">
        <f>'Job Planner'!AE90</f>
        <v>0</v>
      </c>
      <c r="W90" s="16">
        <f>'Job Planner'!AF90</f>
        <v>0</v>
      </c>
      <c r="X90" s="16" t="e">
        <f>'Job Planner'!AG90</f>
        <v>#VALUE!</v>
      </c>
    </row>
    <row r="91" spans="1:24" x14ac:dyDescent="0.2">
      <c r="A91" s="5">
        <f>'Job Planner'!A91</f>
        <v>0</v>
      </c>
      <c r="B91" s="14">
        <f>'Job Planner'!B91</f>
        <v>0</v>
      </c>
      <c r="C91" s="13">
        <f>'Job Planner'!C91</f>
        <v>0</v>
      </c>
      <c r="D91" s="14">
        <f>'Job Planner'!D91</f>
        <v>0</v>
      </c>
      <c r="E91" s="13" t="str">
        <f>IF('Job Planner'!D91="GEOMETRY",'Job Planner'!E91,'Job Planner'!K91)</f>
        <v/>
      </c>
      <c r="F91" s="16">
        <f>'Job Planner'!F91</f>
        <v>0</v>
      </c>
      <c r="G91" s="16">
        <f>'Job Planner'!G91</f>
        <v>0</v>
      </c>
      <c r="H91" s="16" t="str">
        <f>'Job Planner'!I91</f>
        <v/>
      </c>
      <c r="I91" s="16" t="str">
        <f>'Job Planner'!J91</f>
        <v/>
      </c>
      <c r="J91" s="16" t="e">
        <f>'Job Planner'!N91</f>
        <v>#VALUE!</v>
      </c>
      <c r="K91" s="16" t="str">
        <f>IF(C91="BC",J91*'Mix Design'!$B$4,IF(C91="DBM",J91*'Mix Design'!$C$4,""))</f>
        <v/>
      </c>
      <c r="L91" s="16" t="str">
        <f>IF(C91="BC",J91*'Mix Design'!$B$5,IF(C91="DBM",J91*'Mix Design'!$C$5,""))</f>
        <v/>
      </c>
      <c r="M91" s="16" t="str">
        <f>IF(C91="BC",J91*'Mix Design'!$B$6,IF(C91="DBM",J91*'Mix Design'!$C$6,""))</f>
        <v/>
      </c>
      <c r="N91" s="16" t="str">
        <f>IF(C91="BC",J91*'Mix Design'!$B$7,IF(C91="DBM",J91*'Mix Design'!$C$7,""))</f>
        <v/>
      </c>
      <c r="O91" s="16" t="str">
        <f>IF(C91="BC",J91*'Mix Design'!$B$8,IF(C91="DBM",J91*'Mix Design'!$C$8,""))</f>
        <v/>
      </c>
      <c r="P91" s="16" t="str">
        <f>IF(C91="BC",J91*'Mix Design'!$B$9,IF(C91="DBM",J91*'Mix Design'!$C$9,""))</f>
        <v/>
      </c>
      <c r="Q91" s="16" t="e">
        <f>'Job Planner'!P91</f>
        <v>#VALUE!</v>
      </c>
      <c r="R91" s="16" t="e">
        <f>'Job Planner'!Q91</f>
        <v>#VALUE!</v>
      </c>
      <c r="S91" s="16" t="e">
        <f>'Job Planner'!S91</f>
        <v>#VALUE!</v>
      </c>
      <c r="T91" s="16" t="e">
        <f>'Job Planner'!Z91</f>
        <v>#VALUE!</v>
      </c>
      <c r="U91" s="16" t="e">
        <f>'Job Planner'!AB91</f>
        <v>#VALUE!</v>
      </c>
      <c r="V91" s="16">
        <f>'Job Planner'!AE91</f>
        <v>0</v>
      </c>
      <c r="W91" s="16">
        <f>'Job Planner'!AF91</f>
        <v>0</v>
      </c>
      <c r="X91" s="16" t="e">
        <f>'Job Planner'!AG91</f>
        <v>#VALUE!</v>
      </c>
    </row>
    <row r="92" spans="1:24" x14ac:dyDescent="0.2">
      <c r="A92" s="5">
        <f>'Job Planner'!A92</f>
        <v>0</v>
      </c>
      <c r="B92" s="14">
        <f>'Job Planner'!B92</f>
        <v>0</v>
      </c>
      <c r="C92" s="13">
        <f>'Job Planner'!C92</f>
        <v>0</v>
      </c>
      <c r="D92" s="14">
        <f>'Job Planner'!D92</f>
        <v>0</v>
      </c>
      <c r="E92" s="13" t="str">
        <f>IF('Job Planner'!D92="GEOMETRY",'Job Planner'!E92,'Job Planner'!K92)</f>
        <v/>
      </c>
      <c r="F92" s="16">
        <f>'Job Planner'!F92</f>
        <v>0</v>
      </c>
      <c r="G92" s="16">
        <f>'Job Planner'!G92</f>
        <v>0</v>
      </c>
      <c r="H92" s="16" t="str">
        <f>'Job Planner'!I92</f>
        <v/>
      </c>
      <c r="I92" s="16" t="str">
        <f>'Job Planner'!J92</f>
        <v/>
      </c>
      <c r="J92" s="16" t="e">
        <f>'Job Planner'!N92</f>
        <v>#VALUE!</v>
      </c>
      <c r="K92" s="16" t="str">
        <f>IF(C92="BC",J92*'Mix Design'!$B$4,IF(C92="DBM",J92*'Mix Design'!$C$4,""))</f>
        <v/>
      </c>
      <c r="L92" s="16" t="str">
        <f>IF(C92="BC",J92*'Mix Design'!$B$5,IF(C92="DBM",J92*'Mix Design'!$C$5,""))</f>
        <v/>
      </c>
      <c r="M92" s="16" t="str">
        <f>IF(C92="BC",J92*'Mix Design'!$B$6,IF(C92="DBM",J92*'Mix Design'!$C$6,""))</f>
        <v/>
      </c>
      <c r="N92" s="16" t="str">
        <f>IF(C92="BC",J92*'Mix Design'!$B$7,IF(C92="DBM",J92*'Mix Design'!$C$7,""))</f>
        <v/>
      </c>
      <c r="O92" s="16" t="str">
        <f>IF(C92="BC",J92*'Mix Design'!$B$8,IF(C92="DBM",J92*'Mix Design'!$C$8,""))</f>
        <v/>
      </c>
      <c r="P92" s="16" t="str">
        <f>IF(C92="BC",J92*'Mix Design'!$B$9,IF(C92="DBM",J92*'Mix Design'!$C$9,""))</f>
        <v/>
      </c>
      <c r="Q92" s="16" t="e">
        <f>'Job Planner'!P92</f>
        <v>#VALUE!</v>
      </c>
      <c r="R92" s="16" t="e">
        <f>'Job Planner'!Q92</f>
        <v>#VALUE!</v>
      </c>
      <c r="S92" s="16" t="e">
        <f>'Job Planner'!S92</f>
        <v>#VALUE!</v>
      </c>
      <c r="T92" s="16" t="e">
        <f>'Job Planner'!Z92</f>
        <v>#VALUE!</v>
      </c>
      <c r="U92" s="16" t="e">
        <f>'Job Planner'!AB92</f>
        <v>#VALUE!</v>
      </c>
      <c r="V92" s="16">
        <f>'Job Planner'!AE92</f>
        <v>0</v>
      </c>
      <c r="W92" s="16">
        <f>'Job Planner'!AF92</f>
        <v>0</v>
      </c>
      <c r="X92" s="16" t="e">
        <f>'Job Planner'!AG92</f>
        <v>#VALUE!</v>
      </c>
    </row>
    <row r="93" spans="1:24" x14ac:dyDescent="0.2">
      <c r="A93" s="5">
        <f>'Job Planner'!A93</f>
        <v>0</v>
      </c>
      <c r="B93" s="14">
        <f>'Job Planner'!B93</f>
        <v>0</v>
      </c>
      <c r="C93" s="13">
        <f>'Job Planner'!C93</f>
        <v>0</v>
      </c>
      <c r="D93" s="14">
        <f>'Job Planner'!D93</f>
        <v>0</v>
      </c>
      <c r="E93" s="13" t="str">
        <f>IF('Job Planner'!D93="GEOMETRY",'Job Planner'!E93,'Job Planner'!K93)</f>
        <v/>
      </c>
      <c r="F93" s="16">
        <f>'Job Planner'!F93</f>
        <v>0</v>
      </c>
      <c r="G93" s="16">
        <f>'Job Planner'!G93</f>
        <v>0</v>
      </c>
      <c r="H93" s="16" t="str">
        <f>'Job Planner'!I93</f>
        <v/>
      </c>
      <c r="I93" s="16" t="str">
        <f>'Job Planner'!J93</f>
        <v/>
      </c>
      <c r="J93" s="16" t="e">
        <f>'Job Planner'!N93</f>
        <v>#VALUE!</v>
      </c>
      <c r="K93" s="16" t="str">
        <f>IF(C93="BC",J93*'Mix Design'!$B$4,IF(C93="DBM",J93*'Mix Design'!$C$4,""))</f>
        <v/>
      </c>
      <c r="L93" s="16" t="str">
        <f>IF(C93="BC",J93*'Mix Design'!$B$5,IF(C93="DBM",J93*'Mix Design'!$C$5,""))</f>
        <v/>
      </c>
      <c r="M93" s="16" t="str">
        <f>IF(C93="BC",J93*'Mix Design'!$B$6,IF(C93="DBM",J93*'Mix Design'!$C$6,""))</f>
        <v/>
      </c>
      <c r="N93" s="16" t="str">
        <f>IF(C93="BC",J93*'Mix Design'!$B$7,IF(C93="DBM",J93*'Mix Design'!$C$7,""))</f>
        <v/>
      </c>
      <c r="O93" s="16" t="str">
        <f>IF(C93="BC",J93*'Mix Design'!$B$8,IF(C93="DBM",J93*'Mix Design'!$C$8,""))</f>
        <v/>
      </c>
      <c r="P93" s="16" t="str">
        <f>IF(C93="BC",J93*'Mix Design'!$B$9,IF(C93="DBM",J93*'Mix Design'!$C$9,""))</f>
        <v/>
      </c>
      <c r="Q93" s="16" t="e">
        <f>'Job Planner'!P93</f>
        <v>#VALUE!</v>
      </c>
      <c r="R93" s="16" t="e">
        <f>'Job Planner'!Q93</f>
        <v>#VALUE!</v>
      </c>
      <c r="S93" s="16" t="e">
        <f>'Job Planner'!S93</f>
        <v>#VALUE!</v>
      </c>
      <c r="T93" s="16" t="e">
        <f>'Job Planner'!Z93</f>
        <v>#VALUE!</v>
      </c>
      <c r="U93" s="16" t="e">
        <f>'Job Planner'!AB93</f>
        <v>#VALUE!</v>
      </c>
      <c r="V93" s="16">
        <f>'Job Planner'!AE93</f>
        <v>0</v>
      </c>
      <c r="W93" s="16">
        <f>'Job Planner'!AF93</f>
        <v>0</v>
      </c>
      <c r="X93" s="16" t="e">
        <f>'Job Planner'!AG93</f>
        <v>#VALUE!</v>
      </c>
    </row>
    <row r="94" spans="1:24" x14ac:dyDescent="0.2">
      <c r="A94" s="5">
        <f>'Job Planner'!A94</f>
        <v>0</v>
      </c>
      <c r="B94" s="14">
        <f>'Job Planner'!B94</f>
        <v>0</v>
      </c>
      <c r="C94" s="13">
        <f>'Job Planner'!C94</f>
        <v>0</v>
      </c>
      <c r="D94" s="14">
        <f>'Job Planner'!D94</f>
        <v>0</v>
      </c>
      <c r="E94" s="13" t="str">
        <f>IF('Job Planner'!D94="GEOMETRY",'Job Planner'!E94,'Job Planner'!K94)</f>
        <v/>
      </c>
      <c r="F94" s="16">
        <f>'Job Planner'!F94</f>
        <v>0</v>
      </c>
      <c r="G94" s="16">
        <f>'Job Planner'!G94</f>
        <v>0</v>
      </c>
      <c r="H94" s="16" t="str">
        <f>'Job Planner'!I94</f>
        <v/>
      </c>
      <c r="I94" s="16" t="str">
        <f>'Job Planner'!J94</f>
        <v/>
      </c>
      <c r="J94" s="16" t="e">
        <f>'Job Planner'!N94</f>
        <v>#VALUE!</v>
      </c>
      <c r="K94" s="16" t="str">
        <f>IF(C94="BC",J94*'Mix Design'!$B$4,IF(C94="DBM",J94*'Mix Design'!$C$4,""))</f>
        <v/>
      </c>
      <c r="L94" s="16" t="str">
        <f>IF(C94="BC",J94*'Mix Design'!$B$5,IF(C94="DBM",J94*'Mix Design'!$C$5,""))</f>
        <v/>
      </c>
      <c r="M94" s="16" t="str">
        <f>IF(C94="BC",J94*'Mix Design'!$B$6,IF(C94="DBM",J94*'Mix Design'!$C$6,""))</f>
        <v/>
      </c>
      <c r="N94" s="16" t="str">
        <f>IF(C94="BC",J94*'Mix Design'!$B$7,IF(C94="DBM",J94*'Mix Design'!$C$7,""))</f>
        <v/>
      </c>
      <c r="O94" s="16" t="str">
        <f>IF(C94="BC",J94*'Mix Design'!$B$8,IF(C94="DBM",J94*'Mix Design'!$C$8,""))</f>
        <v/>
      </c>
      <c r="P94" s="16" t="str">
        <f>IF(C94="BC",J94*'Mix Design'!$B$9,IF(C94="DBM",J94*'Mix Design'!$C$9,""))</f>
        <v/>
      </c>
      <c r="Q94" s="16" t="e">
        <f>'Job Planner'!P94</f>
        <v>#VALUE!</v>
      </c>
      <c r="R94" s="16" t="e">
        <f>'Job Planner'!Q94</f>
        <v>#VALUE!</v>
      </c>
      <c r="S94" s="16" t="e">
        <f>'Job Planner'!S94</f>
        <v>#VALUE!</v>
      </c>
      <c r="T94" s="16" t="e">
        <f>'Job Planner'!Z94</f>
        <v>#VALUE!</v>
      </c>
      <c r="U94" s="16" t="e">
        <f>'Job Planner'!AB94</f>
        <v>#VALUE!</v>
      </c>
      <c r="V94" s="16">
        <f>'Job Planner'!AE94</f>
        <v>0</v>
      </c>
      <c r="W94" s="16">
        <f>'Job Planner'!AF94</f>
        <v>0</v>
      </c>
      <c r="X94" s="16" t="e">
        <f>'Job Planner'!AG94</f>
        <v>#VALUE!</v>
      </c>
    </row>
    <row r="95" spans="1:24" x14ac:dyDescent="0.2">
      <c r="A95" s="5">
        <f>'Job Planner'!A95</f>
        <v>0</v>
      </c>
      <c r="B95" s="14">
        <f>'Job Planner'!B95</f>
        <v>0</v>
      </c>
      <c r="C95" s="13">
        <f>'Job Planner'!C95</f>
        <v>0</v>
      </c>
      <c r="D95" s="14">
        <f>'Job Planner'!D95</f>
        <v>0</v>
      </c>
      <c r="E95" s="13" t="str">
        <f>IF('Job Planner'!D95="GEOMETRY",'Job Planner'!E95,'Job Planner'!K95)</f>
        <v/>
      </c>
      <c r="F95" s="16">
        <f>'Job Planner'!F95</f>
        <v>0</v>
      </c>
      <c r="G95" s="16">
        <f>'Job Planner'!G95</f>
        <v>0</v>
      </c>
      <c r="H95" s="16" t="str">
        <f>'Job Planner'!I95</f>
        <v/>
      </c>
      <c r="I95" s="16" t="str">
        <f>'Job Planner'!J95</f>
        <v/>
      </c>
      <c r="J95" s="16" t="e">
        <f>'Job Planner'!N95</f>
        <v>#VALUE!</v>
      </c>
      <c r="K95" s="16" t="str">
        <f>IF(C95="BC",J95*'Mix Design'!$B$4,IF(C95="DBM",J95*'Mix Design'!$C$4,""))</f>
        <v/>
      </c>
      <c r="L95" s="16" t="str">
        <f>IF(C95="BC",J95*'Mix Design'!$B$5,IF(C95="DBM",J95*'Mix Design'!$C$5,""))</f>
        <v/>
      </c>
      <c r="M95" s="16" t="str">
        <f>IF(C95="BC",J95*'Mix Design'!$B$6,IF(C95="DBM",J95*'Mix Design'!$C$6,""))</f>
        <v/>
      </c>
      <c r="N95" s="16" t="str">
        <f>IF(C95="BC",J95*'Mix Design'!$B$7,IF(C95="DBM",J95*'Mix Design'!$C$7,""))</f>
        <v/>
      </c>
      <c r="O95" s="16" t="str">
        <f>IF(C95="BC",J95*'Mix Design'!$B$8,IF(C95="DBM",J95*'Mix Design'!$C$8,""))</f>
        <v/>
      </c>
      <c r="P95" s="16" t="str">
        <f>IF(C95="BC",J95*'Mix Design'!$B$9,IF(C95="DBM",J95*'Mix Design'!$C$9,""))</f>
        <v/>
      </c>
      <c r="Q95" s="16" t="e">
        <f>'Job Planner'!P95</f>
        <v>#VALUE!</v>
      </c>
      <c r="R95" s="16" t="e">
        <f>'Job Planner'!Q95</f>
        <v>#VALUE!</v>
      </c>
      <c r="S95" s="16" t="e">
        <f>'Job Planner'!S95</f>
        <v>#VALUE!</v>
      </c>
      <c r="T95" s="16" t="e">
        <f>'Job Planner'!Z95</f>
        <v>#VALUE!</v>
      </c>
      <c r="U95" s="16" t="e">
        <f>'Job Planner'!AB95</f>
        <v>#VALUE!</v>
      </c>
      <c r="V95" s="16">
        <f>'Job Planner'!AE95</f>
        <v>0</v>
      </c>
      <c r="W95" s="16">
        <f>'Job Planner'!AF95</f>
        <v>0</v>
      </c>
      <c r="X95" s="16" t="e">
        <f>'Job Planner'!AG95</f>
        <v>#VALUE!</v>
      </c>
    </row>
    <row r="96" spans="1:24" x14ac:dyDescent="0.2">
      <c r="A96" s="5">
        <f>'Job Planner'!A96</f>
        <v>0</v>
      </c>
      <c r="B96" s="14">
        <f>'Job Planner'!B96</f>
        <v>0</v>
      </c>
      <c r="C96" s="13">
        <f>'Job Planner'!C96</f>
        <v>0</v>
      </c>
      <c r="D96" s="14">
        <f>'Job Planner'!D96</f>
        <v>0</v>
      </c>
      <c r="E96" s="13" t="str">
        <f>IF('Job Planner'!D96="GEOMETRY",'Job Planner'!E96,'Job Planner'!K96)</f>
        <v/>
      </c>
      <c r="F96" s="16">
        <f>'Job Planner'!F96</f>
        <v>0</v>
      </c>
      <c r="G96" s="16">
        <f>'Job Planner'!G96</f>
        <v>0</v>
      </c>
      <c r="H96" s="16" t="str">
        <f>'Job Planner'!I96</f>
        <v/>
      </c>
      <c r="I96" s="16" t="str">
        <f>'Job Planner'!J96</f>
        <v/>
      </c>
      <c r="J96" s="16" t="e">
        <f>'Job Planner'!N96</f>
        <v>#VALUE!</v>
      </c>
      <c r="K96" s="16" t="str">
        <f>IF(C96="BC",J96*'Mix Design'!$B$4,IF(C96="DBM",J96*'Mix Design'!$C$4,""))</f>
        <v/>
      </c>
      <c r="L96" s="16" t="str">
        <f>IF(C96="BC",J96*'Mix Design'!$B$5,IF(C96="DBM",J96*'Mix Design'!$C$5,""))</f>
        <v/>
      </c>
      <c r="M96" s="16" t="str">
        <f>IF(C96="BC",J96*'Mix Design'!$B$6,IF(C96="DBM",J96*'Mix Design'!$C$6,""))</f>
        <v/>
      </c>
      <c r="N96" s="16" t="str">
        <f>IF(C96="BC",J96*'Mix Design'!$B$7,IF(C96="DBM",J96*'Mix Design'!$C$7,""))</f>
        <v/>
      </c>
      <c r="O96" s="16" t="str">
        <f>IF(C96="BC",J96*'Mix Design'!$B$8,IF(C96="DBM",J96*'Mix Design'!$C$8,""))</f>
        <v/>
      </c>
      <c r="P96" s="16" t="str">
        <f>IF(C96="BC",J96*'Mix Design'!$B$9,IF(C96="DBM",J96*'Mix Design'!$C$9,""))</f>
        <v/>
      </c>
      <c r="Q96" s="16" t="e">
        <f>'Job Planner'!P96</f>
        <v>#VALUE!</v>
      </c>
      <c r="R96" s="16" t="e">
        <f>'Job Planner'!Q96</f>
        <v>#VALUE!</v>
      </c>
      <c r="S96" s="16" t="e">
        <f>'Job Planner'!S96</f>
        <v>#VALUE!</v>
      </c>
      <c r="T96" s="16" t="e">
        <f>'Job Planner'!Z96</f>
        <v>#VALUE!</v>
      </c>
      <c r="U96" s="16" t="e">
        <f>'Job Planner'!AB96</f>
        <v>#VALUE!</v>
      </c>
      <c r="V96" s="16">
        <f>'Job Planner'!AE96</f>
        <v>0</v>
      </c>
      <c r="W96" s="16">
        <f>'Job Planner'!AF96</f>
        <v>0</v>
      </c>
      <c r="X96" s="16" t="e">
        <f>'Job Planner'!AG96</f>
        <v>#VALUE!</v>
      </c>
    </row>
    <row r="97" spans="1:24" x14ac:dyDescent="0.2">
      <c r="A97" s="5">
        <f>'Job Planner'!A97</f>
        <v>0</v>
      </c>
      <c r="B97" s="14">
        <f>'Job Planner'!B97</f>
        <v>0</v>
      </c>
      <c r="C97" s="13">
        <f>'Job Planner'!C97</f>
        <v>0</v>
      </c>
      <c r="D97" s="14">
        <f>'Job Planner'!D97</f>
        <v>0</v>
      </c>
      <c r="E97" s="13" t="str">
        <f>IF('Job Planner'!D97="GEOMETRY",'Job Planner'!E97,'Job Planner'!K97)</f>
        <v/>
      </c>
      <c r="F97" s="16">
        <f>'Job Planner'!F97</f>
        <v>0</v>
      </c>
      <c r="G97" s="16">
        <f>'Job Planner'!G97</f>
        <v>0</v>
      </c>
      <c r="H97" s="16" t="str">
        <f>'Job Planner'!I97</f>
        <v/>
      </c>
      <c r="I97" s="16" t="str">
        <f>'Job Planner'!J97</f>
        <v/>
      </c>
      <c r="J97" s="16" t="e">
        <f>'Job Planner'!N97</f>
        <v>#VALUE!</v>
      </c>
      <c r="K97" s="16" t="str">
        <f>IF(C97="BC",J97*'Mix Design'!$B$4,IF(C97="DBM",J97*'Mix Design'!$C$4,""))</f>
        <v/>
      </c>
      <c r="L97" s="16" t="str">
        <f>IF(C97="BC",J97*'Mix Design'!$B$5,IF(C97="DBM",J97*'Mix Design'!$C$5,""))</f>
        <v/>
      </c>
      <c r="M97" s="16" t="str">
        <f>IF(C97="BC",J97*'Mix Design'!$B$6,IF(C97="DBM",J97*'Mix Design'!$C$6,""))</f>
        <v/>
      </c>
      <c r="N97" s="16" t="str">
        <f>IF(C97="BC",J97*'Mix Design'!$B$7,IF(C97="DBM",J97*'Mix Design'!$C$7,""))</f>
        <v/>
      </c>
      <c r="O97" s="16" t="str">
        <f>IF(C97="BC",J97*'Mix Design'!$B$8,IF(C97="DBM",J97*'Mix Design'!$C$8,""))</f>
        <v/>
      </c>
      <c r="P97" s="16" t="str">
        <f>IF(C97="BC",J97*'Mix Design'!$B$9,IF(C97="DBM",J97*'Mix Design'!$C$9,""))</f>
        <v/>
      </c>
      <c r="Q97" s="16" t="e">
        <f>'Job Planner'!P97</f>
        <v>#VALUE!</v>
      </c>
      <c r="R97" s="16" t="e">
        <f>'Job Planner'!Q97</f>
        <v>#VALUE!</v>
      </c>
      <c r="S97" s="16" t="e">
        <f>'Job Planner'!S97</f>
        <v>#VALUE!</v>
      </c>
      <c r="T97" s="16" t="e">
        <f>'Job Planner'!Z97</f>
        <v>#VALUE!</v>
      </c>
      <c r="U97" s="16" t="e">
        <f>'Job Planner'!AB97</f>
        <v>#VALUE!</v>
      </c>
      <c r="V97" s="16">
        <f>'Job Planner'!AE97</f>
        <v>0</v>
      </c>
      <c r="W97" s="16">
        <f>'Job Planner'!AF97</f>
        <v>0</v>
      </c>
      <c r="X97" s="16" t="e">
        <f>'Job Planner'!AG97</f>
        <v>#VALUE!</v>
      </c>
    </row>
    <row r="98" spans="1:24" x14ac:dyDescent="0.2">
      <c r="A98" s="5">
        <f>'Job Planner'!A98</f>
        <v>0</v>
      </c>
      <c r="B98" s="14">
        <f>'Job Planner'!B98</f>
        <v>0</v>
      </c>
      <c r="C98" s="13">
        <f>'Job Planner'!C98</f>
        <v>0</v>
      </c>
      <c r="D98" s="14">
        <f>'Job Planner'!D98</f>
        <v>0</v>
      </c>
      <c r="E98" s="13" t="str">
        <f>IF('Job Planner'!D98="GEOMETRY",'Job Planner'!E98,'Job Planner'!K98)</f>
        <v/>
      </c>
      <c r="F98" s="16">
        <f>'Job Planner'!F98</f>
        <v>0</v>
      </c>
      <c r="G98" s="16">
        <f>'Job Planner'!G98</f>
        <v>0</v>
      </c>
      <c r="H98" s="16" t="str">
        <f>'Job Planner'!I98</f>
        <v/>
      </c>
      <c r="I98" s="16" t="str">
        <f>'Job Planner'!J98</f>
        <v/>
      </c>
      <c r="J98" s="16" t="e">
        <f>'Job Planner'!N98</f>
        <v>#VALUE!</v>
      </c>
      <c r="K98" s="16" t="str">
        <f>IF(C98="BC",J98*'Mix Design'!$B$4,IF(C98="DBM",J98*'Mix Design'!$C$4,""))</f>
        <v/>
      </c>
      <c r="L98" s="16" t="str">
        <f>IF(C98="BC",J98*'Mix Design'!$B$5,IF(C98="DBM",J98*'Mix Design'!$C$5,""))</f>
        <v/>
      </c>
      <c r="M98" s="16" t="str">
        <f>IF(C98="BC",J98*'Mix Design'!$B$6,IF(C98="DBM",J98*'Mix Design'!$C$6,""))</f>
        <v/>
      </c>
      <c r="N98" s="16" t="str">
        <f>IF(C98="BC",J98*'Mix Design'!$B$7,IF(C98="DBM",J98*'Mix Design'!$C$7,""))</f>
        <v/>
      </c>
      <c r="O98" s="16" t="str">
        <f>IF(C98="BC",J98*'Mix Design'!$B$8,IF(C98="DBM",J98*'Mix Design'!$C$8,""))</f>
        <v/>
      </c>
      <c r="P98" s="16" t="str">
        <f>IF(C98="BC",J98*'Mix Design'!$B$9,IF(C98="DBM",J98*'Mix Design'!$C$9,""))</f>
        <v/>
      </c>
      <c r="Q98" s="16" t="e">
        <f>'Job Planner'!P98</f>
        <v>#VALUE!</v>
      </c>
      <c r="R98" s="16" t="e">
        <f>'Job Planner'!Q98</f>
        <v>#VALUE!</v>
      </c>
      <c r="S98" s="16" t="e">
        <f>'Job Planner'!S98</f>
        <v>#VALUE!</v>
      </c>
      <c r="T98" s="16" t="e">
        <f>'Job Planner'!Z98</f>
        <v>#VALUE!</v>
      </c>
      <c r="U98" s="16" t="e">
        <f>'Job Planner'!AB98</f>
        <v>#VALUE!</v>
      </c>
      <c r="V98" s="16">
        <f>'Job Planner'!AE98</f>
        <v>0</v>
      </c>
      <c r="W98" s="16">
        <f>'Job Planner'!AF98</f>
        <v>0</v>
      </c>
      <c r="X98" s="16" t="e">
        <f>'Job Planner'!AG98</f>
        <v>#VALUE!</v>
      </c>
    </row>
    <row r="99" spans="1:24" x14ac:dyDescent="0.2">
      <c r="A99" s="5">
        <f>'Job Planner'!A99</f>
        <v>0</v>
      </c>
      <c r="B99" s="14">
        <f>'Job Planner'!B99</f>
        <v>0</v>
      </c>
      <c r="C99" s="13">
        <f>'Job Planner'!C99</f>
        <v>0</v>
      </c>
      <c r="D99" s="14">
        <f>'Job Planner'!D99</f>
        <v>0</v>
      </c>
      <c r="E99" s="13" t="str">
        <f>IF('Job Planner'!D99="GEOMETRY",'Job Planner'!E99,'Job Planner'!K99)</f>
        <v/>
      </c>
      <c r="F99" s="16">
        <f>'Job Planner'!F99</f>
        <v>0</v>
      </c>
      <c r="G99" s="16">
        <f>'Job Planner'!G99</f>
        <v>0</v>
      </c>
      <c r="H99" s="16" t="str">
        <f>'Job Planner'!I99</f>
        <v/>
      </c>
      <c r="I99" s="16" t="str">
        <f>'Job Planner'!J99</f>
        <v/>
      </c>
      <c r="J99" s="16" t="e">
        <f>'Job Planner'!N99</f>
        <v>#VALUE!</v>
      </c>
      <c r="K99" s="16" t="str">
        <f>IF(C99="BC",J99*'Mix Design'!$B$4,IF(C99="DBM",J99*'Mix Design'!$C$4,""))</f>
        <v/>
      </c>
      <c r="L99" s="16" t="str">
        <f>IF(C99="BC",J99*'Mix Design'!$B$5,IF(C99="DBM",J99*'Mix Design'!$C$5,""))</f>
        <v/>
      </c>
      <c r="M99" s="16" t="str">
        <f>IF(C99="BC",J99*'Mix Design'!$B$6,IF(C99="DBM",J99*'Mix Design'!$C$6,""))</f>
        <v/>
      </c>
      <c r="N99" s="16" t="str">
        <f>IF(C99="BC",J99*'Mix Design'!$B$7,IF(C99="DBM",J99*'Mix Design'!$C$7,""))</f>
        <v/>
      </c>
      <c r="O99" s="16" t="str">
        <f>IF(C99="BC",J99*'Mix Design'!$B$8,IF(C99="DBM",J99*'Mix Design'!$C$8,""))</f>
        <v/>
      </c>
      <c r="P99" s="16" t="str">
        <f>IF(C99="BC",J99*'Mix Design'!$B$9,IF(C99="DBM",J99*'Mix Design'!$C$9,""))</f>
        <v/>
      </c>
      <c r="Q99" s="16" t="e">
        <f>'Job Planner'!P99</f>
        <v>#VALUE!</v>
      </c>
      <c r="R99" s="16" t="e">
        <f>'Job Planner'!Q99</f>
        <v>#VALUE!</v>
      </c>
      <c r="S99" s="16" t="e">
        <f>'Job Planner'!S99</f>
        <v>#VALUE!</v>
      </c>
      <c r="T99" s="16" t="e">
        <f>'Job Planner'!Z99</f>
        <v>#VALUE!</v>
      </c>
      <c r="U99" s="16" t="e">
        <f>'Job Planner'!AB99</f>
        <v>#VALUE!</v>
      </c>
      <c r="V99" s="16">
        <f>'Job Planner'!AE99</f>
        <v>0</v>
      </c>
      <c r="W99" s="16">
        <f>'Job Planner'!AF99</f>
        <v>0</v>
      </c>
      <c r="X99" s="16" t="e">
        <f>'Job Planner'!AG99</f>
        <v>#VALUE!</v>
      </c>
    </row>
    <row r="100" spans="1:24" x14ac:dyDescent="0.2">
      <c r="A100" s="5">
        <f>'Job Planner'!A100</f>
        <v>0</v>
      </c>
      <c r="B100" s="14">
        <f>'Job Planner'!B100</f>
        <v>0</v>
      </c>
      <c r="C100" s="13">
        <f>'Job Planner'!C100</f>
        <v>0</v>
      </c>
      <c r="D100" s="14">
        <f>'Job Planner'!D100</f>
        <v>0</v>
      </c>
      <c r="E100" s="13" t="str">
        <f>IF('Job Planner'!D100="GEOMETRY",'Job Planner'!E100,'Job Planner'!K100)</f>
        <v/>
      </c>
      <c r="F100" s="16">
        <f>'Job Planner'!F100</f>
        <v>0</v>
      </c>
      <c r="G100" s="16">
        <f>'Job Planner'!G100</f>
        <v>0</v>
      </c>
      <c r="H100" s="16" t="str">
        <f>'Job Planner'!I100</f>
        <v/>
      </c>
      <c r="I100" s="16" t="str">
        <f>'Job Planner'!J100</f>
        <v/>
      </c>
      <c r="J100" s="16" t="e">
        <f>'Job Planner'!N100</f>
        <v>#VALUE!</v>
      </c>
      <c r="K100" s="16" t="str">
        <f>IF(C100="BC",J100*'Mix Design'!$B$4,IF(C100="DBM",J100*'Mix Design'!$C$4,""))</f>
        <v/>
      </c>
      <c r="L100" s="16" t="str">
        <f>IF(C100="BC",J100*'Mix Design'!$B$5,IF(C100="DBM",J100*'Mix Design'!$C$5,""))</f>
        <v/>
      </c>
      <c r="M100" s="16" t="str">
        <f>IF(C100="BC",J100*'Mix Design'!$B$6,IF(C100="DBM",J100*'Mix Design'!$C$6,""))</f>
        <v/>
      </c>
      <c r="N100" s="16" t="str">
        <f>IF(C100="BC",J100*'Mix Design'!$B$7,IF(C100="DBM",J100*'Mix Design'!$C$7,""))</f>
        <v/>
      </c>
      <c r="O100" s="16" t="str">
        <f>IF(C100="BC",J100*'Mix Design'!$B$8,IF(C100="DBM",J100*'Mix Design'!$C$8,""))</f>
        <v/>
      </c>
      <c r="P100" s="16" t="str">
        <f>IF(C100="BC",J100*'Mix Design'!$B$9,IF(C100="DBM",J100*'Mix Design'!$C$9,""))</f>
        <v/>
      </c>
      <c r="Q100" s="16" t="e">
        <f>'Job Planner'!P100</f>
        <v>#VALUE!</v>
      </c>
      <c r="R100" s="16" t="e">
        <f>'Job Planner'!Q100</f>
        <v>#VALUE!</v>
      </c>
      <c r="S100" s="16" t="e">
        <f>'Job Planner'!S100</f>
        <v>#VALUE!</v>
      </c>
      <c r="T100" s="16" t="e">
        <f>'Job Planner'!Z100</f>
        <v>#VALUE!</v>
      </c>
      <c r="U100" s="16" t="e">
        <f>'Job Planner'!AB100</f>
        <v>#VALUE!</v>
      </c>
      <c r="V100" s="16">
        <f>'Job Planner'!AE100</f>
        <v>0</v>
      </c>
      <c r="W100" s="16">
        <f>'Job Planner'!AF100</f>
        <v>0</v>
      </c>
      <c r="X100" s="16" t="e">
        <f>'Job Planner'!AG100</f>
        <v>#VALUE!</v>
      </c>
    </row>
    <row r="101" spans="1:24" x14ac:dyDescent="0.2">
      <c r="A101" s="5">
        <f>'Job Planner'!A101</f>
        <v>0</v>
      </c>
      <c r="B101" s="14">
        <f>'Job Planner'!B101</f>
        <v>0</v>
      </c>
      <c r="C101" s="13">
        <f>'Job Planner'!C101</f>
        <v>0</v>
      </c>
      <c r="D101" s="14">
        <f>'Job Planner'!D101</f>
        <v>0</v>
      </c>
      <c r="E101" s="13" t="str">
        <f>IF('Job Planner'!D101="GEOMETRY",'Job Planner'!E101,'Job Planner'!K101)</f>
        <v/>
      </c>
      <c r="F101" s="16">
        <f>'Job Planner'!F101</f>
        <v>0</v>
      </c>
      <c r="G101" s="16">
        <f>'Job Planner'!G101</f>
        <v>0</v>
      </c>
      <c r="H101" s="16" t="str">
        <f>'Job Planner'!I101</f>
        <v/>
      </c>
      <c r="I101" s="16" t="str">
        <f>'Job Planner'!J101</f>
        <v/>
      </c>
      <c r="J101" s="16" t="e">
        <f>'Job Planner'!N101</f>
        <v>#VALUE!</v>
      </c>
      <c r="K101" s="16" t="str">
        <f>IF(C101="BC",J101*'Mix Design'!$B$4,IF(C101="DBM",J101*'Mix Design'!$C$4,""))</f>
        <v/>
      </c>
      <c r="L101" s="16" t="str">
        <f>IF(C101="BC",J101*'Mix Design'!$B$5,IF(C101="DBM",J101*'Mix Design'!$C$5,""))</f>
        <v/>
      </c>
      <c r="M101" s="16" t="str">
        <f>IF(C101="BC",J101*'Mix Design'!$B$6,IF(C101="DBM",J101*'Mix Design'!$C$6,""))</f>
        <v/>
      </c>
      <c r="N101" s="16" t="str">
        <f>IF(C101="BC",J101*'Mix Design'!$B$7,IF(C101="DBM",J101*'Mix Design'!$C$7,""))</f>
        <v/>
      </c>
      <c r="O101" s="16" t="str">
        <f>IF(C101="BC",J101*'Mix Design'!$B$8,IF(C101="DBM",J101*'Mix Design'!$C$8,""))</f>
        <v/>
      </c>
      <c r="P101" s="16" t="str">
        <f>IF(C101="BC",J101*'Mix Design'!$B$9,IF(C101="DBM",J101*'Mix Design'!$C$9,""))</f>
        <v/>
      </c>
      <c r="Q101" s="16" t="e">
        <f>'Job Planner'!P101</f>
        <v>#VALUE!</v>
      </c>
      <c r="R101" s="16" t="e">
        <f>'Job Planner'!Q101</f>
        <v>#VALUE!</v>
      </c>
      <c r="S101" s="16" t="e">
        <f>'Job Planner'!S101</f>
        <v>#VALUE!</v>
      </c>
      <c r="T101" s="16" t="e">
        <f>'Job Planner'!Z101</f>
        <v>#VALUE!</v>
      </c>
      <c r="U101" s="16" t="e">
        <f>'Job Planner'!AB101</f>
        <v>#VALUE!</v>
      </c>
      <c r="V101" s="16">
        <f>'Job Planner'!AE101</f>
        <v>0</v>
      </c>
      <c r="W101" s="16">
        <f>'Job Planner'!AF101</f>
        <v>0</v>
      </c>
      <c r="X101" s="16" t="e">
        <f>'Job Planner'!AG101</f>
        <v>#VALUE!</v>
      </c>
    </row>
    <row r="102" spans="1:24" x14ac:dyDescent="0.2">
      <c r="A102" s="5">
        <f>'Job Planner'!A102</f>
        <v>0</v>
      </c>
      <c r="B102" s="14">
        <f>'Job Planner'!B102</f>
        <v>0</v>
      </c>
      <c r="C102" s="13">
        <f>'Job Planner'!C102</f>
        <v>0</v>
      </c>
      <c r="D102" s="14">
        <f>'Job Planner'!D102</f>
        <v>0</v>
      </c>
      <c r="E102" s="13" t="str">
        <f>IF('Job Planner'!D102="GEOMETRY",'Job Planner'!E102,'Job Planner'!K102)</f>
        <v/>
      </c>
      <c r="F102" s="16">
        <f>'Job Planner'!F102</f>
        <v>0</v>
      </c>
      <c r="G102" s="16">
        <f>'Job Planner'!G102</f>
        <v>0</v>
      </c>
      <c r="H102" s="16" t="str">
        <f>'Job Planner'!I102</f>
        <v/>
      </c>
      <c r="I102" s="16" t="str">
        <f>'Job Planner'!J102</f>
        <v/>
      </c>
      <c r="J102" s="16" t="e">
        <f>'Job Planner'!N102</f>
        <v>#VALUE!</v>
      </c>
      <c r="K102" s="16" t="str">
        <f>IF(C102="BC",J102*'Mix Design'!$B$4,IF(C102="DBM",J102*'Mix Design'!$C$4,""))</f>
        <v/>
      </c>
      <c r="L102" s="16" t="str">
        <f>IF(C102="BC",J102*'Mix Design'!$B$5,IF(C102="DBM",J102*'Mix Design'!$C$5,""))</f>
        <v/>
      </c>
      <c r="M102" s="16" t="str">
        <f>IF(C102="BC",J102*'Mix Design'!$B$6,IF(C102="DBM",J102*'Mix Design'!$C$6,""))</f>
        <v/>
      </c>
      <c r="N102" s="16" t="str">
        <f>IF(C102="BC",J102*'Mix Design'!$B$7,IF(C102="DBM",J102*'Mix Design'!$C$7,""))</f>
        <v/>
      </c>
      <c r="O102" s="16" t="str">
        <f>IF(C102="BC",J102*'Mix Design'!$B$8,IF(C102="DBM",J102*'Mix Design'!$C$8,""))</f>
        <v/>
      </c>
      <c r="P102" s="16" t="str">
        <f>IF(C102="BC",J102*'Mix Design'!$B$9,IF(C102="DBM",J102*'Mix Design'!$C$9,""))</f>
        <v/>
      </c>
      <c r="Q102" s="16" t="e">
        <f>'Job Planner'!P102</f>
        <v>#VALUE!</v>
      </c>
      <c r="R102" s="16" t="e">
        <f>'Job Planner'!Q102</f>
        <v>#VALUE!</v>
      </c>
      <c r="S102" s="16" t="e">
        <f>'Job Planner'!S102</f>
        <v>#VALUE!</v>
      </c>
      <c r="T102" s="16" t="e">
        <f>'Job Planner'!Z102</f>
        <v>#VALUE!</v>
      </c>
      <c r="U102" s="16" t="e">
        <f>'Job Planner'!AB102</f>
        <v>#VALUE!</v>
      </c>
      <c r="V102" s="16">
        <f>'Job Planner'!AE102</f>
        <v>0</v>
      </c>
      <c r="W102" s="16">
        <f>'Job Planner'!AF102</f>
        <v>0</v>
      </c>
      <c r="X102" s="16" t="e">
        <f>'Job Planner'!AG102</f>
        <v>#VALUE!</v>
      </c>
    </row>
    <row r="103" spans="1:24" x14ac:dyDescent="0.2">
      <c r="A103" s="5">
        <f>'Job Planner'!A103</f>
        <v>0</v>
      </c>
      <c r="B103" s="14">
        <f>'Job Planner'!B103</f>
        <v>0</v>
      </c>
      <c r="C103" s="13">
        <f>'Job Planner'!C103</f>
        <v>0</v>
      </c>
      <c r="D103" s="14">
        <f>'Job Planner'!D103</f>
        <v>0</v>
      </c>
      <c r="E103" s="13" t="str">
        <f>IF('Job Planner'!D103="GEOMETRY",'Job Planner'!E103,'Job Planner'!K103)</f>
        <v/>
      </c>
      <c r="F103" s="16">
        <f>'Job Planner'!F103</f>
        <v>0</v>
      </c>
      <c r="G103" s="16">
        <f>'Job Planner'!G103</f>
        <v>0</v>
      </c>
      <c r="H103" s="16" t="str">
        <f>'Job Planner'!I103</f>
        <v/>
      </c>
      <c r="I103" s="16" t="str">
        <f>'Job Planner'!J103</f>
        <v/>
      </c>
      <c r="J103" s="16" t="e">
        <f>'Job Planner'!N103</f>
        <v>#VALUE!</v>
      </c>
      <c r="K103" s="16" t="str">
        <f>IF(C103="BC",J103*'Mix Design'!$B$4,IF(C103="DBM",J103*'Mix Design'!$C$4,""))</f>
        <v/>
      </c>
      <c r="L103" s="16" t="str">
        <f>IF(C103="BC",J103*'Mix Design'!$B$5,IF(C103="DBM",J103*'Mix Design'!$C$5,""))</f>
        <v/>
      </c>
      <c r="M103" s="16" t="str">
        <f>IF(C103="BC",J103*'Mix Design'!$B$6,IF(C103="DBM",J103*'Mix Design'!$C$6,""))</f>
        <v/>
      </c>
      <c r="N103" s="16" t="str">
        <f>IF(C103="BC",J103*'Mix Design'!$B$7,IF(C103="DBM",J103*'Mix Design'!$C$7,""))</f>
        <v/>
      </c>
      <c r="O103" s="16" t="str">
        <f>IF(C103="BC",J103*'Mix Design'!$B$8,IF(C103="DBM",J103*'Mix Design'!$C$8,""))</f>
        <v/>
      </c>
      <c r="P103" s="16" t="str">
        <f>IF(C103="BC",J103*'Mix Design'!$B$9,IF(C103="DBM",J103*'Mix Design'!$C$9,""))</f>
        <v/>
      </c>
      <c r="Q103" s="16" t="e">
        <f>'Job Planner'!P103</f>
        <v>#VALUE!</v>
      </c>
      <c r="R103" s="16" t="e">
        <f>'Job Planner'!Q103</f>
        <v>#VALUE!</v>
      </c>
      <c r="S103" s="16" t="e">
        <f>'Job Planner'!S103</f>
        <v>#VALUE!</v>
      </c>
      <c r="T103" s="16" t="e">
        <f>'Job Planner'!Z103</f>
        <v>#VALUE!</v>
      </c>
      <c r="U103" s="16" t="e">
        <f>'Job Planner'!AB103</f>
        <v>#VALUE!</v>
      </c>
      <c r="V103" s="16">
        <f>'Job Planner'!AE103</f>
        <v>0</v>
      </c>
      <c r="W103" s="16">
        <f>'Job Planner'!AF103</f>
        <v>0</v>
      </c>
      <c r="X103" s="16" t="e">
        <f>'Job Planner'!AG103</f>
        <v>#VALUE!</v>
      </c>
    </row>
    <row r="104" spans="1:24" x14ac:dyDescent="0.2">
      <c r="A104" s="5">
        <f>'Job Planner'!A104</f>
        <v>0</v>
      </c>
      <c r="B104" s="14">
        <f>'Job Planner'!B104</f>
        <v>0</v>
      </c>
      <c r="C104" s="13">
        <f>'Job Planner'!C104</f>
        <v>0</v>
      </c>
      <c r="D104" s="14">
        <f>'Job Planner'!D104</f>
        <v>0</v>
      </c>
      <c r="E104" s="13" t="str">
        <f>IF('Job Planner'!D104="GEOMETRY",'Job Planner'!E104,'Job Planner'!K104)</f>
        <v/>
      </c>
      <c r="F104" s="16">
        <f>'Job Planner'!F104</f>
        <v>0</v>
      </c>
      <c r="G104" s="16">
        <f>'Job Planner'!G104</f>
        <v>0</v>
      </c>
      <c r="H104" s="16" t="str">
        <f>'Job Planner'!I104</f>
        <v/>
      </c>
      <c r="I104" s="16" t="str">
        <f>'Job Planner'!J104</f>
        <v/>
      </c>
      <c r="J104" s="16" t="e">
        <f>'Job Planner'!N104</f>
        <v>#VALUE!</v>
      </c>
      <c r="K104" s="16" t="str">
        <f>IF(C104="BC",J104*'Mix Design'!$B$4,IF(C104="DBM",J104*'Mix Design'!$C$4,""))</f>
        <v/>
      </c>
      <c r="L104" s="16" t="str">
        <f>IF(C104="BC",J104*'Mix Design'!$B$5,IF(C104="DBM",J104*'Mix Design'!$C$5,""))</f>
        <v/>
      </c>
      <c r="M104" s="16" t="str">
        <f>IF(C104="BC",J104*'Mix Design'!$B$6,IF(C104="DBM",J104*'Mix Design'!$C$6,""))</f>
        <v/>
      </c>
      <c r="N104" s="16" t="str">
        <f>IF(C104="BC",J104*'Mix Design'!$B$7,IF(C104="DBM",J104*'Mix Design'!$C$7,""))</f>
        <v/>
      </c>
      <c r="O104" s="16" t="str">
        <f>IF(C104="BC",J104*'Mix Design'!$B$8,IF(C104="DBM",J104*'Mix Design'!$C$8,""))</f>
        <v/>
      </c>
      <c r="P104" s="16" t="str">
        <f>IF(C104="BC",J104*'Mix Design'!$B$9,IF(C104="DBM",J104*'Mix Design'!$C$9,""))</f>
        <v/>
      </c>
      <c r="Q104" s="16" t="e">
        <f>'Job Planner'!P104</f>
        <v>#VALUE!</v>
      </c>
      <c r="R104" s="16" t="e">
        <f>'Job Planner'!Q104</f>
        <v>#VALUE!</v>
      </c>
      <c r="S104" s="16" t="e">
        <f>'Job Planner'!S104</f>
        <v>#VALUE!</v>
      </c>
      <c r="T104" s="16" t="e">
        <f>'Job Planner'!Z104</f>
        <v>#VALUE!</v>
      </c>
      <c r="U104" s="16" t="e">
        <f>'Job Planner'!AB104</f>
        <v>#VALUE!</v>
      </c>
      <c r="V104" s="16">
        <f>'Job Planner'!AE104</f>
        <v>0</v>
      </c>
      <c r="W104" s="16">
        <f>'Job Planner'!AF104</f>
        <v>0</v>
      </c>
      <c r="X104" s="16" t="e">
        <f>'Job Planner'!AG104</f>
        <v>#VALUE!</v>
      </c>
    </row>
    <row r="105" spans="1:24" x14ac:dyDescent="0.2">
      <c r="A105" s="5">
        <f>'Job Planner'!A105</f>
        <v>0</v>
      </c>
      <c r="B105" s="14">
        <f>'Job Planner'!B105</f>
        <v>0</v>
      </c>
      <c r="C105" s="13">
        <f>'Job Planner'!C105</f>
        <v>0</v>
      </c>
      <c r="D105" s="14">
        <f>'Job Planner'!D105</f>
        <v>0</v>
      </c>
      <c r="E105" s="13" t="str">
        <f>IF('Job Planner'!D105="GEOMETRY",'Job Planner'!E105,'Job Planner'!K105)</f>
        <v/>
      </c>
      <c r="F105" s="16">
        <f>'Job Planner'!F105</f>
        <v>0</v>
      </c>
      <c r="G105" s="16">
        <f>'Job Planner'!G105</f>
        <v>0</v>
      </c>
      <c r="H105" s="16" t="str">
        <f>'Job Planner'!I105</f>
        <v/>
      </c>
      <c r="I105" s="16" t="str">
        <f>'Job Planner'!J105</f>
        <v/>
      </c>
      <c r="J105" s="16" t="e">
        <f>'Job Planner'!N105</f>
        <v>#VALUE!</v>
      </c>
      <c r="K105" s="16" t="str">
        <f>IF(C105="BC",J105*'Mix Design'!$B$4,IF(C105="DBM",J105*'Mix Design'!$C$4,""))</f>
        <v/>
      </c>
      <c r="L105" s="16" t="str">
        <f>IF(C105="BC",J105*'Mix Design'!$B$5,IF(C105="DBM",J105*'Mix Design'!$C$5,""))</f>
        <v/>
      </c>
      <c r="M105" s="16" t="str">
        <f>IF(C105="BC",J105*'Mix Design'!$B$6,IF(C105="DBM",J105*'Mix Design'!$C$6,""))</f>
        <v/>
      </c>
      <c r="N105" s="16" t="str">
        <f>IF(C105="BC",J105*'Mix Design'!$B$7,IF(C105="DBM",J105*'Mix Design'!$C$7,""))</f>
        <v/>
      </c>
      <c r="O105" s="16" t="str">
        <f>IF(C105="BC",J105*'Mix Design'!$B$8,IF(C105="DBM",J105*'Mix Design'!$C$8,""))</f>
        <v/>
      </c>
      <c r="P105" s="16" t="str">
        <f>IF(C105="BC",J105*'Mix Design'!$B$9,IF(C105="DBM",J105*'Mix Design'!$C$9,""))</f>
        <v/>
      </c>
      <c r="Q105" s="16" t="e">
        <f>'Job Planner'!P105</f>
        <v>#VALUE!</v>
      </c>
      <c r="R105" s="16" t="e">
        <f>'Job Planner'!Q105</f>
        <v>#VALUE!</v>
      </c>
      <c r="S105" s="16" t="e">
        <f>'Job Planner'!S105</f>
        <v>#VALUE!</v>
      </c>
      <c r="T105" s="16" t="e">
        <f>'Job Planner'!Z105</f>
        <v>#VALUE!</v>
      </c>
      <c r="U105" s="16" t="e">
        <f>'Job Planner'!AB105</f>
        <v>#VALUE!</v>
      </c>
      <c r="V105" s="16">
        <f>'Job Planner'!AE105</f>
        <v>0</v>
      </c>
      <c r="W105" s="16">
        <f>'Job Planner'!AF105</f>
        <v>0</v>
      </c>
      <c r="X105" s="16" t="e">
        <f>'Job Planner'!AG105</f>
        <v>#VALUE!</v>
      </c>
    </row>
    <row r="106" spans="1:24" x14ac:dyDescent="0.2">
      <c r="A106" s="5">
        <f>'Job Planner'!A106</f>
        <v>0</v>
      </c>
      <c r="B106" s="14">
        <f>'Job Planner'!B106</f>
        <v>0</v>
      </c>
      <c r="C106" s="13">
        <f>'Job Planner'!C106</f>
        <v>0</v>
      </c>
      <c r="D106" s="14">
        <f>'Job Planner'!D106</f>
        <v>0</v>
      </c>
      <c r="E106" s="13" t="str">
        <f>IF('Job Planner'!D106="GEOMETRY",'Job Planner'!E106,'Job Planner'!K106)</f>
        <v/>
      </c>
      <c r="F106" s="16">
        <f>'Job Planner'!F106</f>
        <v>0</v>
      </c>
      <c r="G106" s="16">
        <f>'Job Planner'!G106</f>
        <v>0</v>
      </c>
      <c r="H106" s="16" t="str">
        <f>'Job Planner'!I106</f>
        <v/>
      </c>
      <c r="I106" s="16" t="str">
        <f>'Job Planner'!J106</f>
        <v/>
      </c>
      <c r="J106" s="16" t="e">
        <f>'Job Planner'!N106</f>
        <v>#VALUE!</v>
      </c>
      <c r="K106" s="16" t="str">
        <f>IF(C106="BC",J106*'Mix Design'!$B$4,IF(C106="DBM",J106*'Mix Design'!$C$4,""))</f>
        <v/>
      </c>
      <c r="L106" s="16" t="str">
        <f>IF(C106="BC",J106*'Mix Design'!$B$5,IF(C106="DBM",J106*'Mix Design'!$C$5,""))</f>
        <v/>
      </c>
      <c r="M106" s="16" t="str">
        <f>IF(C106="BC",J106*'Mix Design'!$B$6,IF(C106="DBM",J106*'Mix Design'!$C$6,""))</f>
        <v/>
      </c>
      <c r="N106" s="16" t="str">
        <f>IF(C106="BC",J106*'Mix Design'!$B$7,IF(C106="DBM",J106*'Mix Design'!$C$7,""))</f>
        <v/>
      </c>
      <c r="O106" s="16" t="str">
        <f>IF(C106="BC",J106*'Mix Design'!$B$8,IF(C106="DBM",J106*'Mix Design'!$C$8,""))</f>
        <v/>
      </c>
      <c r="P106" s="16" t="str">
        <f>IF(C106="BC",J106*'Mix Design'!$B$9,IF(C106="DBM",J106*'Mix Design'!$C$9,""))</f>
        <v/>
      </c>
      <c r="Q106" s="16" t="e">
        <f>'Job Planner'!P106</f>
        <v>#VALUE!</v>
      </c>
      <c r="R106" s="16" t="e">
        <f>'Job Planner'!Q106</f>
        <v>#VALUE!</v>
      </c>
      <c r="S106" s="16" t="e">
        <f>'Job Planner'!S106</f>
        <v>#VALUE!</v>
      </c>
      <c r="T106" s="16" t="e">
        <f>'Job Planner'!Z106</f>
        <v>#VALUE!</v>
      </c>
      <c r="U106" s="16" t="e">
        <f>'Job Planner'!AB106</f>
        <v>#VALUE!</v>
      </c>
      <c r="V106" s="16">
        <f>'Job Planner'!AE106</f>
        <v>0</v>
      </c>
      <c r="W106" s="16">
        <f>'Job Planner'!AF106</f>
        <v>0</v>
      </c>
      <c r="X106" s="16" t="e">
        <f>'Job Planner'!AG106</f>
        <v>#VALUE!</v>
      </c>
    </row>
    <row r="107" spans="1:24" x14ac:dyDescent="0.2">
      <c r="A107" s="5">
        <f>'Job Planner'!A107</f>
        <v>0</v>
      </c>
      <c r="B107" s="14">
        <f>'Job Planner'!B107</f>
        <v>0</v>
      </c>
      <c r="C107" s="13">
        <f>'Job Planner'!C107</f>
        <v>0</v>
      </c>
      <c r="D107" s="14">
        <f>'Job Planner'!D107</f>
        <v>0</v>
      </c>
      <c r="E107" s="13" t="str">
        <f>IF('Job Planner'!D107="GEOMETRY",'Job Planner'!E107,'Job Planner'!K107)</f>
        <v/>
      </c>
      <c r="F107" s="16">
        <f>'Job Planner'!F107</f>
        <v>0</v>
      </c>
      <c r="G107" s="16">
        <f>'Job Planner'!G107</f>
        <v>0</v>
      </c>
      <c r="H107" s="16" t="str">
        <f>'Job Planner'!I107</f>
        <v/>
      </c>
      <c r="I107" s="16" t="str">
        <f>'Job Planner'!J107</f>
        <v/>
      </c>
      <c r="J107" s="16" t="e">
        <f>'Job Planner'!N107</f>
        <v>#VALUE!</v>
      </c>
      <c r="K107" s="16" t="str">
        <f>IF(C107="BC",J107*'Mix Design'!$B$4,IF(C107="DBM",J107*'Mix Design'!$C$4,""))</f>
        <v/>
      </c>
      <c r="L107" s="16" t="str">
        <f>IF(C107="BC",J107*'Mix Design'!$B$5,IF(C107="DBM",J107*'Mix Design'!$C$5,""))</f>
        <v/>
      </c>
      <c r="M107" s="16" t="str">
        <f>IF(C107="BC",J107*'Mix Design'!$B$6,IF(C107="DBM",J107*'Mix Design'!$C$6,""))</f>
        <v/>
      </c>
      <c r="N107" s="16" t="str">
        <f>IF(C107="BC",J107*'Mix Design'!$B$7,IF(C107="DBM",J107*'Mix Design'!$C$7,""))</f>
        <v/>
      </c>
      <c r="O107" s="16" t="str">
        <f>IF(C107="BC",J107*'Mix Design'!$B$8,IF(C107="DBM",J107*'Mix Design'!$C$8,""))</f>
        <v/>
      </c>
      <c r="P107" s="16" t="str">
        <f>IF(C107="BC",J107*'Mix Design'!$B$9,IF(C107="DBM",J107*'Mix Design'!$C$9,""))</f>
        <v/>
      </c>
      <c r="Q107" s="16" t="e">
        <f>'Job Planner'!P107</f>
        <v>#VALUE!</v>
      </c>
      <c r="R107" s="16" t="e">
        <f>'Job Planner'!Q107</f>
        <v>#VALUE!</v>
      </c>
      <c r="S107" s="16" t="e">
        <f>'Job Planner'!S107</f>
        <v>#VALUE!</v>
      </c>
      <c r="T107" s="16" t="e">
        <f>'Job Planner'!Z107</f>
        <v>#VALUE!</v>
      </c>
      <c r="U107" s="16" t="e">
        <f>'Job Planner'!AB107</f>
        <v>#VALUE!</v>
      </c>
      <c r="V107" s="16">
        <f>'Job Planner'!AE107</f>
        <v>0</v>
      </c>
      <c r="W107" s="16">
        <f>'Job Planner'!AF107</f>
        <v>0</v>
      </c>
      <c r="X107" s="16" t="e">
        <f>'Job Planner'!AG107</f>
        <v>#VALUE!</v>
      </c>
    </row>
    <row r="108" spans="1:24" x14ac:dyDescent="0.2">
      <c r="A108" s="5">
        <f>'Job Planner'!A108</f>
        <v>0</v>
      </c>
      <c r="B108" s="14">
        <f>'Job Planner'!B108</f>
        <v>0</v>
      </c>
      <c r="C108" s="13">
        <f>'Job Planner'!C108</f>
        <v>0</v>
      </c>
      <c r="D108" s="14">
        <f>'Job Planner'!D108</f>
        <v>0</v>
      </c>
      <c r="E108" s="13" t="str">
        <f>IF('Job Planner'!D108="GEOMETRY",'Job Planner'!E108,'Job Planner'!K108)</f>
        <v/>
      </c>
      <c r="F108" s="16">
        <f>'Job Planner'!F108</f>
        <v>0</v>
      </c>
      <c r="G108" s="16">
        <f>'Job Planner'!G108</f>
        <v>0</v>
      </c>
      <c r="H108" s="16" t="str">
        <f>'Job Planner'!I108</f>
        <v/>
      </c>
      <c r="I108" s="16" t="str">
        <f>'Job Planner'!J108</f>
        <v/>
      </c>
      <c r="J108" s="16" t="e">
        <f>'Job Planner'!N108</f>
        <v>#VALUE!</v>
      </c>
      <c r="K108" s="16" t="str">
        <f>IF(C108="BC",J108*'Mix Design'!$B$4,IF(C108="DBM",J108*'Mix Design'!$C$4,""))</f>
        <v/>
      </c>
      <c r="L108" s="16" t="str">
        <f>IF(C108="BC",J108*'Mix Design'!$B$5,IF(C108="DBM",J108*'Mix Design'!$C$5,""))</f>
        <v/>
      </c>
      <c r="M108" s="16" t="str">
        <f>IF(C108="BC",J108*'Mix Design'!$B$6,IF(C108="DBM",J108*'Mix Design'!$C$6,""))</f>
        <v/>
      </c>
      <c r="N108" s="16" t="str">
        <f>IF(C108="BC",J108*'Mix Design'!$B$7,IF(C108="DBM",J108*'Mix Design'!$C$7,""))</f>
        <v/>
      </c>
      <c r="O108" s="16" t="str">
        <f>IF(C108="BC",J108*'Mix Design'!$B$8,IF(C108="DBM",J108*'Mix Design'!$C$8,""))</f>
        <v/>
      </c>
      <c r="P108" s="16" t="str">
        <f>IF(C108="BC",J108*'Mix Design'!$B$9,IF(C108="DBM",J108*'Mix Design'!$C$9,""))</f>
        <v/>
      </c>
      <c r="Q108" s="16" t="e">
        <f>'Job Planner'!P108</f>
        <v>#VALUE!</v>
      </c>
      <c r="R108" s="16" t="e">
        <f>'Job Planner'!Q108</f>
        <v>#VALUE!</v>
      </c>
      <c r="S108" s="16" t="e">
        <f>'Job Planner'!S108</f>
        <v>#VALUE!</v>
      </c>
      <c r="T108" s="16" t="e">
        <f>'Job Planner'!Z108</f>
        <v>#VALUE!</v>
      </c>
      <c r="U108" s="16" t="e">
        <f>'Job Planner'!AB108</f>
        <v>#VALUE!</v>
      </c>
      <c r="V108" s="16">
        <f>'Job Planner'!AE108</f>
        <v>0</v>
      </c>
      <c r="W108" s="16">
        <f>'Job Planner'!AF108</f>
        <v>0</v>
      </c>
      <c r="X108" s="16" t="e">
        <f>'Job Planner'!AG108</f>
        <v>#VALUE!</v>
      </c>
    </row>
    <row r="109" spans="1:24" x14ac:dyDescent="0.2">
      <c r="A109" s="5">
        <f>'Job Planner'!A109</f>
        <v>0</v>
      </c>
      <c r="B109" s="14">
        <f>'Job Planner'!B109</f>
        <v>0</v>
      </c>
      <c r="C109" s="13">
        <f>'Job Planner'!C109</f>
        <v>0</v>
      </c>
      <c r="D109" s="14">
        <f>'Job Planner'!D109</f>
        <v>0</v>
      </c>
      <c r="E109" s="13" t="str">
        <f>IF('Job Planner'!D109="GEOMETRY",'Job Planner'!E109,'Job Planner'!K109)</f>
        <v/>
      </c>
      <c r="F109" s="16">
        <f>'Job Planner'!F109</f>
        <v>0</v>
      </c>
      <c r="G109" s="16">
        <f>'Job Planner'!G109</f>
        <v>0</v>
      </c>
      <c r="H109" s="16" t="str">
        <f>'Job Planner'!I109</f>
        <v/>
      </c>
      <c r="I109" s="16" t="str">
        <f>'Job Planner'!J109</f>
        <v/>
      </c>
      <c r="J109" s="16" t="e">
        <f>'Job Planner'!N109</f>
        <v>#VALUE!</v>
      </c>
      <c r="K109" s="16" t="str">
        <f>IF(C109="BC",J109*'Mix Design'!$B$4,IF(C109="DBM",J109*'Mix Design'!$C$4,""))</f>
        <v/>
      </c>
      <c r="L109" s="16" t="str">
        <f>IF(C109="BC",J109*'Mix Design'!$B$5,IF(C109="DBM",J109*'Mix Design'!$C$5,""))</f>
        <v/>
      </c>
      <c r="M109" s="16" t="str">
        <f>IF(C109="BC",J109*'Mix Design'!$B$6,IF(C109="DBM",J109*'Mix Design'!$C$6,""))</f>
        <v/>
      </c>
      <c r="N109" s="16" t="str">
        <f>IF(C109="BC",J109*'Mix Design'!$B$7,IF(C109="DBM",J109*'Mix Design'!$C$7,""))</f>
        <v/>
      </c>
      <c r="O109" s="16" t="str">
        <f>IF(C109="BC",J109*'Mix Design'!$B$8,IF(C109="DBM",J109*'Mix Design'!$C$8,""))</f>
        <v/>
      </c>
      <c r="P109" s="16" t="str">
        <f>IF(C109="BC",J109*'Mix Design'!$B$9,IF(C109="DBM",J109*'Mix Design'!$C$9,""))</f>
        <v/>
      </c>
      <c r="Q109" s="16" t="e">
        <f>'Job Planner'!P109</f>
        <v>#VALUE!</v>
      </c>
      <c r="R109" s="16" t="e">
        <f>'Job Planner'!Q109</f>
        <v>#VALUE!</v>
      </c>
      <c r="S109" s="16" t="e">
        <f>'Job Planner'!S109</f>
        <v>#VALUE!</v>
      </c>
      <c r="T109" s="16" t="e">
        <f>'Job Planner'!Z109</f>
        <v>#VALUE!</v>
      </c>
      <c r="U109" s="16" t="e">
        <f>'Job Planner'!AB109</f>
        <v>#VALUE!</v>
      </c>
      <c r="V109" s="16">
        <f>'Job Planner'!AE109</f>
        <v>0</v>
      </c>
      <c r="W109" s="16">
        <f>'Job Planner'!AF109</f>
        <v>0</v>
      </c>
      <c r="X109" s="16" t="e">
        <f>'Job Planner'!AG109</f>
        <v>#VALUE!</v>
      </c>
    </row>
    <row r="110" spans="1:24" x14ac:dyDescent="0.2">
      <c r="A110" s="5">
        <f>'Job Planner'!A110</f>
        <v>0</v>
      </c>
      <c r="B110" s="14">
        <f>'Job Planner'!B110</f>
        <v>0</v>
      </c>
      <c r="C110" s="13">
        <f>'Job Planner'!C110</f>
        <v>0</v>
      </c>
      <c r="D110" s="14">
        <f>'Job Planner'!D110</f>
        <v>0</v>
      </c>
      <c r="E110" s="13" t="str">
        <f>IF('Job Planner'!D110="GEOMETRY",'Job Planner'!E110,'Job Planner'!K110)</f>
        <v/>
      </c>
      <c r="F110" s="16">
        <f>'Job Planner'!F110</f>
        <v>0</v>
      </c>
      <c r="G110" s="16">
        <f>'Job Planner'!G110</f>
        <v>0</v>
      </c>
      <c r="H110" s="16" t="str">
        <f>'Job Planner'!I110</f>
        <v/>
      </c>
      <c r="I110" s="16" t="str">
        <f>'Job Planner'!J110</f>
        <v/>
      </c>
      <c r="J110" s="16" t="e">
        <f>'Job Planner'!N110</f>
        <v>#VALUE!</v>
      </c>
      <c r="K110" s="16" t="str">
        <f>IF(C110="BC",J110*'Mix Design'!$B$4,IF(C110="DBM",J110*'Mix Design'!$C$4,""))</f>
        <v/>
      </c>
      <c r="L110" s="16" t="str">
        <f>IF(C110="BC",J110*'Mix Design'!$B$5,IF(C110="DBM",J110*'Mix Design'!$C$5,""))</f>
        <v/>
      </c>
      <c r="M110" s="16" t="str">
        <f>IF(C110="BC",J110*'Mix Design'!$B$6,IF(C110="DBM",J110*'Mix Design'!$C$6,""))</f>
        <v/>
      </c>
      <c r="N110" s="16" t="str">
        <f>IF(C110="BC",J110*'Mix Design'!$B$7,IF(C110="DBM",J110*'Mix Design'!$C$7,""))</f>
        <v/>
      </c>
      <c r="O110" s="16" t="str">
        <f>IF(C110="BC",J110*'Mix Design'!$B$8,IF(C110="DBM",J110*'Mix Design'!$C$8,""))</f>
        <v/>
      </c>
      <c r="P110" s="16" t="str">
        <f>IF(C110="BC",J110*'Mix Design'!$B$9,IF(C110="DBM",J110*'Mix Design'!$C$9,""))</f>
        <v/>
      </c>
      <c r="Q110" s="16" t="e">
        <f>'Job Planner'!P110</f>
        <v>#VALUE!</v>
      </c>
      <c r="R110" s="16" t="e">
        <f>'Job Planner'!Q110</f>
        <v>#VALUE!</v>
      </c>
      <c r="S110" s="16" t="e">
        <f>'Job Planner'!S110</f>
        <v>#VALUE!</v>
      </c>
      <c r="T110" s="16" t="e">
        <f>'Job Planner'!Z110</f>
        <v>#VALUE!</v>
      </c>
      <c r="U110" s="16" t="e">
        <f>'Job Planner'!AB110</f>
        <v>#VALUE!</v>
      </c>
      <c r="V110" s="16">
        <f>'Job Planner'!AE110</f>
        <v>0</v>
      </c>
      <c r="W110" s="16">
        <f>'Job Planner'!AF110</f>
        <v>0</v>
      </c>
      <c r="X110" s="16" t="e">
        <f>'Job Planner'!AG110</f>
        <v>#VALUE!</v>
      </c>
    </row>
    <row r="111" spans="1:24" x14ac:dyDescent="0.2">
      <c r="A111" s="5">
        <f>'Job Planner'!A111</f>
        <v>0</v>
      </c>
      <c r="B111" s="14">
        <f>'Job Planner'!B111</f>
        <v>0</v>
      </c>
      <c r="C111" s="13">
        <f>'Job Planner'!C111</f>
        <v>0</v>
      </c>
      <c r="D111" s="14">
        <f>'Job Planner'!D111</f>
        <v>0</v>
      </c>
      <c r="E111" s="13" t="str">
        <f>IF('Job Planner'!D111="GEOMETRY",'Job Planner'!E111,'Job Planner'!K111)</f>
        <v/>
      </c>
      <c r="F111" s="16">
        <f>'Job Planner'!F111</f>
        <v>0</v>
      </c>
      <c r="G111" s="16">
        <f>'Job Planner'!G111</f>
        <v>0</v>
      </c>
      <c r="H111" s="16" t="str">
        <f>'Job Planner'!I111</f>
        <v/>
      </c>
      <c r="I111" s="16" t="str">
        <f>'Job Planner'!J111</f>
        <v/>
      </c>
      <c r="J111" s="16" t="e">
        <f>'Job Planner'!N111</f>
        <v>#VALUE!</v>
      </c>
      <c r="K111" s="16" t="str">
        <f>IF(C111="BC",J111*'Mix Design'!$B$4,IF(C111="DBM",J111*'Mix Design'!$C$4,""))</f>
        <v/>
      </c>
      <c r="L111" s="16" t="str">
        <f>IF(C111="BC",J111*'Mix Design'!$B$5,IF(C111="DBM",J111*'Mix Design'!$C$5,""))</f>
        <v/>
      </c>
      <c r="M111" s="16" t="str">
        <f>IF(C111="BC",J111*'Mix Design'!$B$6,IF(C111="DBM",J111*'Mix Design'!$C$6,""))</f>
        <v/>
      </c>
      <c r="N111" s="16" t="str">
        <f>IF(C111="BC",J111*'Mix Design'!$B$7,IF(C111="DBM",J111*'Mix Design'!$C$7,""))</f>
        <v/>
      </c>
      <c r="O111" s="16" t="str">
        <f>IF(C111="BC",J111*'Mix Design'!$B$8,IF(C111="DBM",J111*'Mix Design'!$C$8,""))</f>
        <v/>
      </c>
      <c r="P111" s="16" t="str">
        <f>IF(C111="BC",J111*'Mix Design'!$B$9,IF(C111="DBM",J111*'Mix Design'!$C$9,""))</f>
        <v/>
      </c>
      <c r="Q111" s="16" t="e">
        <f>'Job Planner'!P111</f>
        <v>#VALUE!</v>
      </c>
      <c r="R111" s="16" t="e">
        <f>'Job Planner'!Q111</f>
        <v>#VALUE!</v>
      </c>
      <c r="S111" s="16" t="e">
        <f>'Job Planner'!S111</f>
        <v>#VALUE!</v>
      </c>
      <c r="T111" s="16" t="e">
        <f>'Job Planner'!Z111</f>
        <v>#VALUE!</v>
      </c>
      <c r="U111" s="16" t="e">
        <f>'Job Planner'!AB111</f>
        <v>#VALUE!</v>
      </c>
      <c r="V111" s="16">
        <f>'Job Planner'!AE111</f>
        <v>0</v>
      </c>
      <c r="W111" s="16">
        <f>'Job Planner'!AF111</f>
        <v>0</v>
      </c>
      <c r="X111" s="16" t="e">
        <f>'Job Planner'!AG111</f>
        <v>#VALUE!</v>
      </c>
    </row>
    <row r="112" spans="1:24" x14ac:dyDescent="0.2">
      <c r="A112" s="5">
        <f>'Job Planner'!A112</f>
        <v>0</v>
      </c>
      <c r="B112" s="14">
        <f>'Job Planner'!B112</f>
        <v>0</v>
      </c>
      <c r="C112" s="13">
        <f>'Job Planner'!C112</f>
        <v>0</v>
      </c>
      <c r="D112" s="14">
        <f>'Job Planner'!D112</f>
        <v>0</v>
      </c>
      <c r="E112" s="13" t="str">
        <f>IF('Job Planner'!D112="GEOMETRY",'Job Planner'!E112,'Job Planner'!K112)</f>
        <v/>
      </c>
      <c r="F112" s="16">
        <f>'Job Planner'!F112</f>
        <v>0</v>
      </c>
      <c r="G112" s="16">
        <f>'Job Planner'!G112</f>
        <v>0</v>
      </c>
      <c r="H112" s="16" t="str">
        <f>'Job Planner'!I112</f>
        <v/>
      </c>
      <c r="I112" s="16" t="str">
        <f>'Job Planner'!J112</f>
        <v/>
      </c>
      <c r="J112" s="16" t="e">
        <f>'Job Planner'!N112</f>
        <v>#VALUE!</v>
      </c>
      <c r="K112" s="16" t="str">
        <f>IF(C112="BC",J112*'Mix Design'!$B$4,IF(C112="DBM",J112*'Mix Design'!$C$4,""))</f>
        <v/>
      </c>
      <c r="L112" s="16" t="str">
        <f>IF(C112="BC",J112*'Mix Design'!$B$5,IF(C112="DBM",J112*'Mix Design'!$C$5,""))</f>
        <v/>
      </c>
      <c r="M112" s="16" t="str">
        <f>IF(C112="BC",J112*'Mix Design'!$B$6,IF(C112="DBM",J112*'Mix Design'!$C$6,""))</f>
        <v/>
      </c>
      <c r="N112" s="16" t="str">
        <f>IF(C112="BC",J112*'Mix Design'!$B$7,IF(C112="DBM",J112*'Mix Design'!$C$7,""))</f>
        <v/>
      </c>
      <c r="O112" s="16" t="str">
        <f>IF(C112="BC",J112*'Mix Design'!$B$8,IF(C112="DBM",J112*'Mix Design'!$C$8,""))</f>
        <v/>
      </c>
      <c r="P112" s="16" t="str">
        <f>IF(C112="BC",J112*'Mix Design'!$B$9,IF(C112="DBM",J112*'Mix Design'!$C$9,""))</f>
        <v/>
      </c>
      <c r="Q112" s="16" t="e">
        <f>'Job Planner'!P112</f>
        <v>#VALUE!</v>
      </c>
      <c r="R112" s="16" t="e">
        <f>'Job Planner'!Q112</f>
        <v>#VALUE!</v>
      </c>
      <c r="S112" s="16" t="e">
        <f>'Job Planner'!S112</f>
        <v>#VALUE!</v>
      </c>
      <c r="T112" s="16" t="e">
        <f>'Job Planner'!Z112</f>
        <v>#VALUE!</v>
      </c>
      <c r="U112" s="16" t="e">
        <f>'Job Planner'!AB112</f>
        <v>#VALUE!</v>
      </c>
      <c r="V112" s="16">
        <f>'Job Planner'!AE112</f>
        <v>0</v>
      </c>
      <c r="W112" s="16">
        <f>'Job Planner'!AF112</f>
        <v>0</v>
      </c>
      <c r="X112" s="16" t="e">
        <f>'Job Planner'!AG112</f>
        <v>#VALUE!</v>
      </c>
    </row>
    <row r="113" spans="1:24" x14ac:dyDescent="0.2">
      <c r="A113" s="5">
        <f>'Job Planner'!A113</f>
        <v>0</v>
      </c>
      <c r="B113" s="14">
        <f>'Job Planner'!B113</f>
        <v>0</v>
      </c>
      <c r="C113" s="13">
        <f>'Job Planner'!C113</f>
        <v>0</v>
      </c>
      <c r="D113" s="14">
        <f>'Job Planner'!D113</f>
        <v>0</v>
      </c>
      <c r="E113" s="13" t="str">
        <f>IF('Job Planner'!D113="GEOMETRY",'Job Planner'!E113,'Job Planner'!K113)</f>
        <v/>
      </c>
      <c r="F113" s="16">
        <f>'Job Planner'!F113</f>
        <v>0</v>
      </c>
      <c r="G113" s="16">
        <f>'Job Planner'!G113</f>
        <v>0</v>
      </c>
      <c r="H113" s="16" t="str">
        <f>'Job Planner'!I113</f>
        <v/>
      </c>
      <c r="I113" s="16" t="str">
        <f>'Job Planner'!J113</f>
        <v/>
      </c>
      <c r="J113" s="16" t="e">
        <f>'Job Planner'!N113</f>
        <v>#VALUE!</v>
      </c>
      <c r="K113" s="16" t="str">
        <f>IF(C113="BC",J113*'Mix Design'!$B$4,IF(C113="DBM",J113*'Mix Design'!$C$4,""))</f>
        <v/>
      </c>
      <c r="L113" s="16" t="str">
        <f>IF(C113="BC",J113*'Mix Design'!$B$5,IF(C113="DBM",J113*'Mix Design'!$C$5,""))</f>
        <v/>
      </c>
      <c r="M113" s="16" t="str">
        <f>IF(C113="BC",J113*'Mix Design'!$B$6,IF(C113="DBM",J113*'Mix Design'!$C$6,""))</f>
        <v/>
      </c>
      <c r="N113" s="16" t="str">
        <f>IF(C113="BC",J113*'Mix Design'!$B$7,IF(C113="DBM",J113*'Mix Design'!$C$7,""))</f>
        <v/>
      </c>
      <c r="O113" s="16" t="str">
        <f>IF(C113="BC",J113*'Mix Design'!$B$8,IF(C113="DBM",J113*'Mix Design'!$C$8,""))</f>
        <v/>
      </c>
      <c r="P113" s="16" t="str">
        <f>IF(C113="BC",J113*'Mix Design'!$B$9,IF(C113="DBM",J113*'Mix Design'!$C$9,""))</f>
        <v/>
      </c>
      <c r="Q113" s="16" t="e">
        <f>'Job Planner'!P113</f>
        <v>#VALUE!</v>
      </c>
      <c r="R113" s="16" t="e">
        <f>'Job Planner'!Q113</f>
        <v>#VALUE!</v>
      </c>
      <c r="S113" s="16" t="e">
        <f>'Job Planner'!S113</f>
        <v>#VALUE!</v>
      </c>
      <c r="T113" s="16" t="e">
        <f>'Job Planner'!Z113</f>
        <v>#VALUE!</v>
      </c>
      <c r="U113" s="16" t="e">
        <f>'Job Planner'!AB113</f>
        <v>#VALUE!</v>
      </c>
      <c r="V113" s="16">
        <f>'Job Planner'!AE113</f>
        <v>0</v>
      </c>
      <c r="W113" s="16">
        <f>'Job Planner'!AF113</f>
        <v>0</v>
      </c>
      <c r="X113" s="16" t="e">
        <f>'Job Planner'!AG113</f>
        <v>#VALUE!</v>
      </c>
    </row>
    <row r="114" spans="1:24" x14ac:dyDescent="0.2">
      <c r="A114" s="5">
        <f>'Job Planner'!A114</f>
        <v>0</v>
      </c>
      <c r="B114" s="14">
        <f>'Job Planner'!B114</f>
        <v>0</v>
      </c>
      <c r="C114" s="13">
        <f>'Job Planner'!C114</f>
        <v>0</v>
      </c>
      <c r="D114" s="14">
        <f>'Job Planner'!D114</f>
        <v>0</v>
      </c>
      <c r="E114" s="13" t="str">
        <f>IF('Job Planner'!D114="GEOMETRY",'Job Planner'!E114,'Job Planner'!K114)</f>
        <v/>
      </c>
      <c r="F114" s="16">
        <f>'Job Planner'!F114</f>
        <v>0</v>
      </c>
      <c r="G114" s="16">
        <f>'Job Planner'!G114</f>
        <v>0</v>
      </c>
      <c r="H114" s="16" t="str">
        <f>'Job Planner'!I114</f>
        <v/>
      </c>
      <c r="I114" s="16" t="str">
        <f>'Job Planner'!J114</f>
        <v/>
      </c>
      <c r="J114" s="16" t="e">
        <f>'Job Planner'!N114</f>
        <v>#VALUE!</v>
      </c>
      <c r="K114" s="16" t="str">
        <f>IF(C114="BC",J114*'Mix Design'!$B$4,IF(C114="DBM",J114*'Mix Design'!$C$4,""))</f>
        <v/>
      </c>
      <c r="L114" s="16" t="str">
        <f>IF(C114="BC",J114*'Mix Design'!$B$5,IF(C114="DBM",J114*'Mix Design'!$C$5,""))</f>
        <v/>
      </c>
      <c r="M114" s="16" t="str">
        <f>IF(C114="BC",J114*'Mix Design'!$B$6,IF(C114="DBM",J114*'Mix Design'!$C$6,""))</f>
        <v/>
      </c>
      <c r="N114" s="16" t="str">
        <f>IF(C114="BC",J114*'Mix Design'!$B$7,IF(C114="DBM",J114*'Mix Design'!$C$7,""))</f>
        <v/>
      </c>
      <c r="O114" s="16" t="str">
        <f>IF(C114="BC",J114*'Mix Design'!$B$8,IF(C114="DBM",J114*'Mix Design'!$C$8,""))</f>
        <v/>
      </c>
      <c r="P114" s="16" t="str">
        <f>IF(C114="BC",J114*'Mix Design'!$B$9,IF(C114="DBM",J114*'Mix Design'!$C$9,""))</f>
        <v/>
      </c>
      <c r="Q114" s="16" t="e">
        <f>'Job Planner'!P114</f>
        <v>#VALUE!</v>
      </c>
      <c r="R114" s="16" t="e">
        <f>'Job Planner'!Q114</f>
        <v>#VALUE!</v>
      </c>
      <c r="S114" s="16" t="e">
        <f>'Job Planner'!S114</f>
        <v>#VALUE!</v>
      </c>
      <c r="T114" s="16" t="e">
        <f>'Job Planner'!Z114</f>
        <v>#VALUE!</v>
      </c>
      <c r="U114" s="16" t="e">
        <f>'Job Planner'!AB114</f>
        <v>#VALUE!</v>
      </c>
      <c r="V114" s="16">
        <f>'Job Planner'!AE114</f>
        <v>0</v>
      </c>
      <c r="W114" s="16">
        <f>'Job Planner'!AF114</f>
        <v>0</v>
      </c>
      <c r="X114" s="16" t="e">
        <f>'Job Planner'!AG114</f>
        <v>#VALUE!</v>
      </c>
    </row>
    <row r="115" spans="1:24" x14ac:dyDescent="0.2">
      <c r="A115" s="5">
        <f>'Job Planner'!A115</f>
        <v>0</v>
      </c>
      <c r="B115" s="14">
        <f>'Job Planner'!B115</f>
        <v>0</v>
      </c>
      <c r="C115" s="13">
        <f>'Job Planner'!C115</f>
        <v>0</v>
      </c>
      <c r="D115" s="14">
        <f>'Job Planner'!D115</f>
        <v>0</v>
      </c>
      <c r="E115" s="13" t="str">
        <f>IF('Job Planner'!D115="GEOMETRY",'Job Planner'!E115,'Job Planner'!K115)</f>
        <v/>
      </c>
      <c r="F115" s="16">
        <f>'Job Planner'!F115</f>
        <v>0</v>
      </c>
      <c r="G115" s="16">
        <f>'Job Planner'!G115</f>
        <v>0</v>
      </c>
      <c r="H115" s="16" t="str">
        <f>'Job Planner'!I115</f>
        <v/>
      </c>
      <c r="I115" s="16" t="str">
        <f>'Job Planner'!J115</f>
        <v/>
      </c>
      <c r="J115" s="16" t="e">
        <f>'Job Planner'!N115</f>
        <v>#VALUE!</v>
      </c>
      <c r="K115" s="16" t="str">
        <f>IF(C115="BC",J115*'Mix Design'!$B$4,IF(C115="DBM",J115*'Mix Design'!$C$4,""))</f>
        <v/>
      </c>
      <c r="L115" s="16" t="str">
        <f>IF(C115="BC",J115*'Mix Design'!$B$5,IF(C115="DBM",J115*'Mix Design'!$C$5,""))</f>
        <v/>
      </c>
      <c r="M115" s="16" t="str">
        <f>IF(C115="BC",J115*'Mix Design'!$B$6,IF(C115="DBM",J115*'Mix Design'!$C$6,""))</f>
        <v/>
      </c>
      <c r="N115" s="16" t="str">
        <f>IF(C115="BC",J115*'Mix Design'!$B$7,IF(C115="DBM",J115*'Mix Design'!$C$7,""))</f>
        <v/>
      </c>
      <c r="O115" s="16" t="str">
        <f>IF(C115="BC",J115*'Mix Design'!$B$8,IF(C115="DBM",J115*'Mix Design'!$C$8,""))</f>
        <v/>
      </c>
      <c r="P115" s="16" t="str">
        <f>IF(C115="BC",J115*'Mix Design'!$B$9,IF(C115="DBM",J115*'Mix Design'!$C$9,""))</f>
        <v/>
      </c>
      <c r="Q115" s="16" t="e">
        <f>'Job Planner'!P115</f>
        <v>#VALUE!</v>
      </c>
      <c r="R115" s="16" t="e">
        <f>'Job Planner'!Q115</f>
        <v>#VALUE!</v>
      </c>
      <c r="S115" s="16" t="e">
        <f>'Job Planner'!S115</f>
        <v>#VALUE!</v>
      </c>
      <c r="T115" s="16" t="e">
        <f>'Job Planner'!Z115</f>
        <v>#VALUE!</v>
      </c>
      <c r="U115" s="16" t="e">
        <f>'Job Planner'!AB115</f>
        <v>#VALUE!</v>
      </c>
      <c r="V115" s="16">
        <f>'Job Planner'!AE115</f>
        <v>0</v>
      </c>
      <c r="W115" s="16">
        <f>'Job Planner'!AF115</f>
        <v>0</v>
      </c>
      <c r="X115" s="16" t="e">
        <f>'Job Planner'!AG115</f>
        <v>#VALUE!</v>
      </c>
    </row>
    <row r="116" spans="1:24" x14ac:dyDescent="0.2">
      <c r="A116" s="5">
        <f>'Job Planner'!A116</f>
        <v>0</v>
      </c>
      <c r="B116" s="14">
        <f>'Job Planner'!B116</f>
        <v>0</v>
      </c>
      <c r="C116" s="13">
        <f>'Job Planner'!C116</f>
        <v>0</v>
      </c>
      <c r="D116" s="14">
        <f>'Job Planner'!D116</f>
        <v>0</v>
      </c>
      <c r="E116" s="13" t="str">
        <f>IF('Job Planner'!D116="GEOMETRY",'Job Planner'!E116,'Job Planner'!K116)</f>
        <v/>
      </c>
      <c r="F116" s="16">
        <f>'Job Planner'!F116</f>
        <v>0</v>
      </c>
      <c r="G116" s="16">
        <f>'Job Planner'!G116</f>
        <v>0</v>
      </c>
      <c r="H116" s="16" t="str">
        <f>'Job Planner'!I116</f>
        <v/>
      </c>
      <c r="I116" s="16" t="str">
        <f>'Job Planner'!J116</f>
        <v/>
      </c>
      <c r="J116" s="16" t="e">
        <f>'Job Planner'!N116</f>
        <v>#VALUE!</v>
      </c>
      <c r="K116" s="16" t="str">
        <f>IF(C116="BC",J116*'Mix Design'!$B$4,IF(C116="DBM",J116*'Mix Design'!$C$4,""))</f>
        <v/>
      </c>
      <c r="L116" s="16" t="str">
        <f>IF(C116="BC",J116*'Mix Design'!$B$5,IF(C116="DBM",J116*'Mix Design'!$C$5,""))</f>
        <v/>
      </c>
      <c r="M116" s="16" t="str">
        <f>IF(C116="BC",J116*'Mix Design'!$B$6,IF(C116="DBM",J116*'Mix Design'!$C$6,""))</f>
        <v/>
      </c>
      <c r="N116" s="16" t="str">
        <f>IF(C116="BC",J116*'Mix Design'!$B$7,IF(C116="DBM",J116*'Mix Design'!$C$7,""))</f>
        <v/>
      </c>
      <c r="O116" s="16" t="str">
        <f>IF(C116="BC",J116*'Mix Design'!$B$8,IF(C116="DBM",J116*'Mix Design'!$C$8,""))</f>
        <v/>
      </c>
      <c r="P116" s="16" t="str">
        <f>IF(C116="BC",J116*'Mix Design'!$B$9,IF(C116="DBM",J116*'Mix Design'!$C$9,""))</f>
        <v/>
      </c>
      <c r="Q116" s="16" t="e">
        <f>'Job Planner'!P116</f>
        <v>#VALUE!</v>
      </c>
      <c r="R116" s="16" t="e">
        <f>'Job Planner'!Q116</f>
        <v>#VALUE!</v>
      </c>
      <c r="S116" s="16" t="e">
        <f>'Job Planner'!S116</f>
        <v>#VALUE!</v>
      </c>
      <c r="T116" s="16" t="e">
        <f>'Job Planner'!Z116</f>
        <v>#VALUE!</v>
      </c>
      <c r="U116" s="16" t="e">
        <f>'Job Planner'!AB116</f>
        <v>#VALUE!</v>
      </c>
      <c r="V116" s="16">
        <f>'Job Planner'!AE116</f>
        <v>0</v>
      </c>
      <c r="W116" s="16">
        <f>'Job Planner'!AF116</f>
        <v>0</v>
      </c>
      <c r="X116" s="16" t="e">
        <f>'Job Planner'!AG116</f>
        <v>#VALUE!</v>
      </c>
    </row>
    <row r="117" spans="1:24" x14ac:dyDescent="0.2">
      <c r="A117" s="5">
        <f>'Job Planner'!A117</f>
        <v>0</v>
      </c>
      <c r="B117" s="14">
        <f>'Job Planner'!B117</f>
        <v>0</v>
      </c>
      <c r="C117" s="13">
        <f>'Job Planner'!C117</f>
        <v>0</v>
      </c>
      <c r="D117" s="14">
        <f>'Job Planner'!D117</f>
        <v>0</v>
      </c>
      <c r="E117" s="13" t="str">
        <f>IF('Job Planner'!D117="GEOMETRY",'Job Planner'!E117,'Job Planner'!K117)</f>
        <v/>
      </c>
      <c r="F117" s="16">
        <f>'Job Planner'!F117</f>
        <v>0</v>
      </c>
      <c r="G117" s="16">
        <f>'Job Planner'!G117</f>
        <v>0</v>
      </c>
      <c r="H117" s="16" t="str">
        <f>'Job Planner'!I117</f>
        <v/>
      </c>
      <c r="I117" s="16" t="str">
        <f>'Job Planner'!J117</f>
        <v/>
      </c>
      <c r="J117" s="16" t="e">
        <f>'Job Planner'!N117</f>
        <v>#VALUE!</v>
      </c>
      <c r="K117" s="16" t="str">
        <f>IF(C117="BC",J117*'Mix Design'!$B$4,IF(C117="DBM",J117*'Mix Design'!$C$4,""))</f>
        <v/>
      </c>
      <c r="L117" s="16" t="str">
        <f>IF(C117="BC",J117*'Mix Design'!$B$5,IF(C117="DBM",J117*'Mix Design'!$C$5,""))</f>
        <v/>
      </c>
      <c r="M117" s="16" t="str">
        <f>IF(C117="BC",J117*'Mix Design'!$B$6,IF(C117="DBM",J117*'Mix Design'!$C$6,""))</f>
        <v/>
      </c>
      <c r="N117" s="16" t="str">
        <f>IF(C117="BC",J117*'Mix Design'!$B$7,IF(C117="DBM",J117*'Mix Design'!$C$7,""))</f>
        <v/>
      </c>
      <c r="O117" s="16" t="str">
        <f>IF(C117="BC",J117*'Mix Design'!$B$8,IF(C117="DBM",J117*'Mix Design'!$C$8,""))</f>
        <v/>
      </c>
      <c r="P117" s="16" t="str">
        <f>IF(C117="BC",J117*'Mix Design'!$B$9,IF(C117="DBM",J117*'Mix Design'!$C$9,""))</f>
        <v/>
      </c>
      <c r="Q117" s="16" t="e">
        <f>'Job Planner'!P117</f>
        <v>#VALUE!</v>
      </c>
      <c r="R117" s="16" t="e">
        <f>'Job Planner'!Q117</f>
        <v>#VALUE!</v>
      </c>
      <c r="S117" s="16" t="e">
        <f>'Job Planner'!S117</f>
        <v>#VALUE!</v>
      </c>
      <c r="T117" s="16" t="e">
        <f>'Job Planner'!Z117</f>
        <v>#VALUE!</v>
      </c>
      <c r="U117" s="16" t="e">
        <f>'Job Planner'!AB117</f>
        <v>#VALUE!</v>
      </c>
      <c r="V117" s="16">
        <f>'Job Planner'!AE117</f>
        <v>0</v>
      </c>
      <c r="W117" s="16">
        <f>'Job Planner'!AF117</f>
        <v>0</v>
      </c>
      <c r="X117" s="16" t="e">
        <f>'Job Planner'!AG117</f>
        <v>#VALUE!</v>
      </c>
    </row>
    <row r="118" spans="1:24" x14ac:dyDescent="0.2">
      <c r="A118" s="5">
        <f>'Job Planner'!A118</f>
        <v>0</v>
      </c>
      <c r="B118" s="14">
        <f>'Job Planner'!B118</f>
        <v>0</v>
      </c>
      <c r="C118" s="13">
        <f>'Job Planner'!C118</f>
        <v>0</v>
      </c>
      <c r="D118" s="14">
        <f>'Job Planner'!D118</f>
        <v>0</v>
      </c>
      <c r="E118" s="13" t="str">
        <f>IF('Job Planner'!D118="GEOMETRY",'Job Planner'!E118,'Job Planner'!K118)</f>
        <v/>
      </c>
      <c r="F118" s="16">
        <f>'Job Planner'!F118</f>
        <v>0</v>
      </c>
      <c r="G118" s="16">
        <f>'Job Planner'!G118</f>
        <v>0</v>
      </c>
      <c r="H118" s="16" t="str">
        <f>'Job Planner'!I118</f>
        <v/>
      </c>
      <c r="I118" s="16" t="str">
        <f>'Job Planner'!J118</f>
        <v/>
      </c>
      <c r="J118" s="16" t="e">
        <f>'Job Planner'!N118</f>
        <v>#VALUE!</v>
      </c>
      <c r="K118" s="16" t="str">
        <f>IF(C118="BC",J118*'Mix Design'!$B$4,IF(C118="DBM",J118*'Mix Design'!$C$4,""))</f>
        <v/>
      </c>
      <c r="L118" s="16" t="str">
        <f>IF(C118="BC",J118*'Mix Design'!$B$5,IF(C118="DBM",J118*'Mix Design'!$C$5,""))</f>
        <v/>
      </c>
      <c r="M118" s="16" t="str">
        <f>IF(C118="BC",J118*'Mix Design'!$B$6,IF(C118="DBM",J118*'Mix Design'!$C$6,""))</f>
        <v/>
      </c>
      <c r="N118" s="16" t="str">
        <f>IF(C118="BC",J118*'Mix Design'!$B$7,IF(C118="DBM",J118*'Mix Design'!$C$7,""))</f>
        <v/>
      </c>
      <c r="O118" s="16" t="str">
        <f>IF(C118="BC",J118*'Mix Design'!$B$8,IF(C118="DBM",J118*'Mix Design'!$C$8,""))</f>
        <v/>
      </c>
      <c r="P118" s="16" t="str">
        <f>IF(C118="BC",J118*'Mix Design'!$B$9,IF(C118="DBM",J118*'Mix Design'!$C$9,""))</f>
        <v/>
      </c>
      <c r="Q118" s="16" t="e">
        <f>'Job Planner'!P118</f>
        <v>#VALUE!</v>
      </c>
      <c r="R118" s="16" t="e">
        <f>'Job Planner'!Q118</f>
        <v>#VALUE!</v>
      </c>
      <c r="S118" s="16" t="e">
        <f>'Job Planner'!S118</f>
        <v>#VALUE!</v>
      </c>
      <c r="T118" s="16" t="e">
        <f>'Job Planner'!Z118</f>
        <v>#VALUE!</v>
      </c>
      <c r="U118" s="16" t="e">
        <f>'Job Planner'!AB118</f>
        <v>#VALUE!</v>
      </c>
      <c r="V118" s="16">
        <f>'Job Planner'!AE118</f>
        <v>0</v>
      </c>
      <c r="W118" s="16">
        <f>'Job Planner'!AF118</f>
        <v>0</v>
      </c>
      <c r="X118" s="16" t="e">
        <f>'Job Planner'!AG118</f>
        <v>#VALUE!</v>
      </c>
    </row>
    <row r="119" spans="1:24" x14ac:dyDescent="0.2">
      <c r="A119" s="5">
        <f>'Job Planner'!A119</f>
        <v>0</v>
      </c>
      <c r="B119" s="14">
        <f>'Job Planner'!B119</f>
        <v>0</v>
      </c>
      <c r="C119" s="13">
        <f>'Job Planner'!C119</f>
        <v>0</v>
      </c>
      <c r="D119" s="14">
        <f>'Job Planner'!D119</f>
        <v>0</v>
      </c>
      <c r="E119" s="13" t="str">
        <f>IF('Job Planner'!D119="GEOMETRY",'Job Planner'!E119,'Job Planner'!K119)</f>
        <v/>
      </c>
      <c r="F119" s="16">
        <f>'Job Planner'!F119</f>
        <v>0</v>
      </c>
      <c r="G119" s="16">
        <f>'Job Planner'!G119</f>
        <v>0</v>
      </c>
      <c r="H119" s="16" t="str">
        <f>'Job Planner'!I119</f>
        <v/>
      </c>
      <c r="I119" s="16" t="str">
        <f>'Job Planner'!J119</f>
        <v/>
      </c>
      <c r="J119" s="16" t="e">
        <f>'Job Planner'!N119</f>
        <v>#VALUE!</v>
      </c>
      <c r="K119" s="16" t="str">
        <f>IF(C119="BC",J119*'Mix Design'!$B$4,IF(C119="DBM",J119*'Mix Design'!$C$4,""))</f>
        <v/>
      </c>
      <c r="L119" s="16" t="str">
        <f>IF(C119="BC",J119*'Mix Design'!$B$5,IF(C119="DBM",J119*'Mix Design'!$C$5,""))</f>
        <v/>
      </c>
      <c r="M119" s="16" t="str">
        <f>IF(C119="BC",J119*'Mix Design'!$B$6,IF(C119="DBM",J119*'Mix Design'!$C$6,""))</f>
        <v/>
      </c>
      <c r="N119" s="16" t="str">
        <f>IF(C119="BC",J119*'Mix Design'!$B$7,IF(C119="DBM",J119*'Mix Design'!$C$7,""))</f>
        <v/>
      </c>
      <c r="O119" s="16" t="str">
        <f>IF(C119="BC",J119*'Mix Design'!$B$8,IF(C119="DBM",J119*'Mix Design'!$C$8,""))</f>
        <v/>
      </c>
      <c r="P119" s="16" t="str">
        <f>IF(C119="BC",J119*'Mix Design'!$B$9,IF(C119="DBM",J119*'Mix Design'!$C$9,""))</f>
        <v/>
      </c>
      <c r="Q119" s="16" t="e">
        <f>'Job Planner'!P119</f>
        <v>#VALUE!</v>
      </c>
      <c r="R119" s="16" t="e">
        <f>'Job Planner'!Q119</f>
        <v>#VALUE!</v>
      </c>
      <c r="S119" s="16" t="e">
        <f>'Job Planner'!S119</f>
        <v>#VALUE!</v>
      </c>
      <c r="T119" s="16" t="e">
        <f>'Job Planner'!Z119</f>
        <v>#VALUE!</v>
      </c>
      <c r="U119" s="16" t="e">
        <f>'Job Planner'!AB119</f>
        <v>#VALUE!</v>
      </c>
      <c r="V119" s="16">
        <f>'Job Planner'!AE119</f>
        <v>0</v>
      </c>
      <c r="W119" s="16">
        <f>'Job Planner'!AF119</f>
        <v>0</v>
      </c>
      <c r="X119" s="16" t="e">
        <f>'Job Planner'!AG119</f>
        <v>#VALUE!</v>
      </c>
    </row>
    <row r="120" spans="1:24" x14ac:dyDescent="0.2">
      <c r="A120" s="5">
        <f>'Job Planner'!A120</f>
        <v>0</v>
      </c>
      <c r="B120" s="14">
        <f>'Job Planner'!B120</f>
        <v>0</v>
      </c>
      <c r="C120" s="13">
        <f>'Job Planner'!C120</f>
        <v>0</v>
      </c>
      <c r="D120" s="14">
        <f>'Job Planner'!D120</f>
        <v>0</v>
      </c>
      <c r="E120" s="13" t="str">
        <f>IF('Job Planner'!D120="GEOMETRY",'Job Planner'!E120,'Job Planner'!K120)</f>
        <v/>
      </c>
      <c r="F120" s="16">
        <f>'Job Planner'!F120</f>
        <v>0</v>
      </c>
      <c r="G120" s="16">
        <f>'Job Planner'!G120</f>
        <v>0</v>
      </c>
      <c r="H120" s="16" t="str">
        <f>'Job Planner'!I120</f>
        <v/>
      </c>
      <c r="I120" s="16" t="str">
        <f>'Job Planner'!J120</f>
        <v/>
      </c>
      <c r="J120" s="16" t="e">
        <f>'Job Planner'!N120</f>
        <v>#VALUE!</v>
      </c>
      <c r="K120" s="16" t="str">
        <f>IF(C120="BC",J120*'Mix Design'!$B$4,IF(C120="DBM",J120*'Mix Design'!$C$4,""))</f>
        <v/>
      </c>
      <c r="L120" s="16" t="str">
        <f>IF(C120="BC",J120*'Mix Design'!$B$5,IF(C120="DBM",J120*'Mix Design'!$C$5,""))</f>
        <v/>
      </c>
      <c r="M120" s="16" t="str">
        <f>IF(C120="BC",J120*'Mix Design'!$B$6,IF(C120="DBM",J120*'Mix Design'!$C$6,""))</f>
        <v/>
      </c>
      <c r="N120" s="16" t="str">
        <f>IF(C120="BC",J120*'Mix Design'!$B$7,IF(C120="DBM",J120*'Mix Design'!$C$7,""))</f>
        <v/>
      </c>
      <c r="O120" s="16" t="str">
        <f>IF(C120="BC",J120*'Mix Design'!$B$8,IF(C120="DBM",J120*'Mix Design'!$C$8,""))</f>
        <v/>
      </c>
      <c r="P120" s="16" t="str">
        <f>IF(C120="BC",J120*'Mix Design'!$B$9,IF(C120="DBM",J120*'Mix Design'!$C$9,""))</f>
        <v/>
      </c>
      <c r="Q120" s="16" t="e">
        <f>'Job Planner'!P120</f>
        <v>#VALUE!</v>
      </c>
      <c r="R120" s="16" t="e">
        <f>'Job Planner'!Q120</f>
        <v>#VALUE!</v>
      </c>
      <c r="S120" s="16" t="e">
        <f>'Job Planner'!S120</f>
        <v>#VALUE!</v>
      </c>
      <c r="T120" s="16" t="e">
        <f>'Job Planner'!Z120</f>
        <v>#VALUE!</v>
      </c>
      <c r="U120" s="16" t="e">
        <f>'Job Planner'!AB120</f>
        <v>#VALUE!</v>
      </c>
      <c r="V120" s="16">
        <f>'Job Planner'!AE120</f>
        <v>0</v>
      </c>
      <c r="W120" s="16">
        <f>'Job Planner'!AF120</f>
        <v>0</v>
      </c>
      <c r="X120" s="16" t="e">
        <f>'Job Planner'!AG120</f>
        <v>#VALUE!</v>
      </c>
    </row>
    <row r="121" spans="1:24" x14ac:dyDescent="0.2">
      <c r="A121" s="5">
        <f>'Job Planner'!A121</f>
        <v>0</v>
      </c>
      <c r="B121" s="14">
        <f>'Job Planner'!B121</f>
        <v>0</v>
      </c>
      <c r="C121" s="13">
        <f>'Job Planner'!C121</f>
        <v>0</v>
      </c>
      <c r="D121" s="14">
        <f>'Job Planner'!D121</f>
        <v>0</v>
      </c>
      <c r="E121" s="13" t="str">
        <f>IF('Job Planner'!D121="GEOMETRY",'Job Planner'!E121,'Job Planner'!K121)</f>
        <v/>
      </c>
      <c r="F121" s="16">
        <f>'Job Planner'!F121</f>
        <v>0</v>
      </c>
      <c r="G121" s="16">
        <f>'Job Planner'!G121</f>
        <v>0</v>
      </c>
      <c r="H121" s="16" t="str">
        <f>'Job Planner'!I121</f>
        <v/>
      </c>
      <c r="I121" s="16" t="str">
        <f>'Job Planner'!J121</f>
        <v/>
      </c>
      <c r="J121" s="16" t="e">
        <f>'Job Planner'!N121</f>
        <v>#VALUE!</v>
      </c>
      <c r="K121" s="16" t="str">
        <f>IF(C121="BC",J121*'Mix Design'!$B$4,IF(C121="DBM",J121*'Mix Design'!$C$4,""))</f>
        <v/>
      </c>
      <c r="L121" s="16" t="str">
        <f>IF(C121="BC",J121*'Mix Design'!$B$5,IF(C121="DBM",J121*'Mix Design'!$C$5,""))</f>
        <v/>
      </c>
      <c r="M121" s="16" t="str">
        <f>IF(C121="BC",J121*'Mix Design'!$B$6,IF(C121="DBM",J121*'Mix Design'!$C$6,""))</f>
        <v/>
      </c>
      <c r="N121" s="16" t="str">
        <f>IF(C121="BC",J121*'Mix Design'!$B$7,IF(C121="DBM",J121*'Mix Design'!$C$7,""))</f>
        <v/>
      </c>
      <c r="O121" s="16" t="str">
        <f>IF(C121="BC",J121*'Mix Design'!$B$8,IF(C121="DBM",J121*'Mix Design'!$C$8,""))</f>
        <v/>
      </c>
      <c r="P121" s="16" t="str">
        <f>IF(C121="BC",J121*'Mix Design'!$B$9,IF(C121="DBM",J121*'Mix Design'!$C$9,""))</f>
        <v/>
      </c>
      <c r="Q121" s="16" t="e">
        <f>'Job Planner'!P121</f>
        <v>#VALUE!</v>
      </c>
      <c r="R121" s="16" t="e">
        <f>'Job Planner'!Q121</f>
        <v>#VALUE!</v>
      </c>
      <c r="S121" s="16" t="e">
        <f>'Job Planner'!S121</f>
        <v>#VALUE!</v>
      </c>
      <c r="T121" s="16" t="e">
        <f>'Job Planner'!Z121</f>
        <v>#VALUE!</v>
      </c>
      <c r="U121" s="16" t="e">
        <f>'Job Planner'!AB121</f>
        <v>#VALUE!</v>
      </c>
      <c r="V121" s="16">
        <f>'Job Planner'!AE121</f>
        <v>0</v>
      </c>
      <c r="W121" s="16">
        <f>'Job Planner'!AF121</f>
        <v>0</v>
      </c>
      <c r="X121" s="16" t="e">
        <f>'Job Planner'!AG121</f>
        <v>#VALUE!</v>
      </c>
    </row>
    <row r="122" spans="1:24" x14ac:dyDescent="0.2">
      <c r="A122" s="5">
        <f>'Job Planner'!A122</f>
        <v>0</v>
      </c>
      <c r="B122" s="14">
        <f>'Job Planner'!B122</f>
        <v>0</v>
      </c>
      <c r="C122" s="13">
        <f>'Job Planner'!C122</f>
        <v>0</v>
      </c>
      <c r="D122" s="14">
        <f>'Job Planner'!D122</f>
        <v>0</v>
      </c>
      <c r="E122" s="13" t="str">
        <f>IF('Job Planner'!D122="GEOMETRY",'Job Planner'!E122,'Job Planner'!K122)</f>
        <v/>
      </c>
      <c r="F122" s="16">
        <f>'Job Planner'!F122</f>
        <v>0</v>
      </c>
      <c r="G122" s="16">
        <f>'Job Planner'!G122</f>
        <v>0</v>
      </c>
      <c r="H122" s="16" t="str">
        <f>'Job Planner'!I122</f>
        <v/>
      </c>
      <c r="I122" s="16" t="str">
        <f>'Job Planner'!J122</f>
        <v/>
      </c>
      <c r="J122" s="16" t="e">
        <f>'Job Planner'!N122</f>
        <v>#VALUE!</v>
      </c>
      <c r="K122" s="16" t="str">
        <f>IF(C122="BC",J122*'Mix Design'!$B$4,IF(C122="DBM",J122*'Mix Design'!$C$4,""))</f>
        <v/>
      </c>
      <c r="L122" s="16" t="str">
        <f>IF(C122="BC",J122*'Mix Design'!$B$5,IF(C122="DBM",J122*'Mix Design'!$C$5,""))</f>
        <v/>
      </c>
      <c r="M122" s="16" t="str">
        <f>IF(C122="BC",J122*'Mix Design'!$B$6,IF(C122="DBM",J122*'Mix Design'!$C$6,""))</f>
        <v/>
      </c>
      <c r="N122" s="16" t="str">
        <f>IF(C122="BC",J122*'Mix Design'!$B$7,IF(C122="DBM",J122*'Mix Design'!$C$7,""))</f>
        <v/>
      </c>
      <c r="O122" s="16" t="str">
        <f>IF(C122="BC",J122*'Mix Design'!$B$8,IF(C122="DBM",J122*'Mix Design'!$C$8,""))</f>
        <v/>
      </c>
      <c r="P122" s="16" t="str">
        <f>IF(C122="BC",J122*'Mix Design'!$B$9,IF(C122="DBM",J122*'Mix Design'!$C$9,""))</f>
        <v/>
      </c>
      <c r="Q122" s="16" t="e">
        <f>'Job Planner'!P122</f>
        <v>#VALUE!</v>
      </c>
      <c r="R122" s="16" t="e">
        <f>'Job Planner'!Q122</f>
        <v>#VALUE!</v>
      </c>
      <c r="S122" s="16" t="e">
        <f>'Job Planner'!S122</f>
        <v>#VALUE!</v>
      </c>
      <c r="T122" s="16" t="e">
        <f>'Job Planner'!Z122</f>
        <v>#VALUE!</v>
      </c>
      <c r="U122" s="16" t="e">
        <f>'Job Planner'!AB122</f>
        <v>#VALUE!</v>
      </c>
      <c r="V122" s="16">
        <f>'Job Planner'!AE122</f>
        <v>0</v>
      </c>
      <c r="W122" s="16">
        <f>'Job Planner'!AF122</f>
        <v>0</v>
      </c>
      <c r="X122" s="16" t="e">
        <f>'Job Planner'!AG122</f>
        <v>#VALUE!</v>
      </c>
    </row>
    <row r="123" spans="1:24" x14ac:dyDescent="0.2">
      <c r="A123" s="5">
        <f>'Job Planner'!A123</f>
        <v>0</v>
      </c>
      <c r="B123" s="14">
        <f>'Job Planner'!B123</f>
        <v>0</v>
      </c>
      <c r="C123" s="13">
        <f>'Job Planner'!C123</f>
        <v>0</v>
      </c>
      <c r="D123" s="14">
        <f>'Job Planner'!D123</f>
        <v>0</v>
      </c>
      <c r="E123" s="13" t="str">
        <f>IF('Job Planner'!D123="GEOMETRY",'Job Planner'!E123,'Job Planner'!K123)</f>
        <v/>
      </c>
      <c r="F123" s="16">
        <f>'Job Planner'!F123</f>
        <v>0</v>
      </c>
      <c r="G123" s="16">
        <f>'Job Planner'!G123</f>
        <v>0</v>
      </c>
      <c r="H123" s="16" t="str">
        <f>'Job Planner'!I123</f>
        <v/>
      </c>
      <c r="I123" s="16" t="str">
        <f>'Job Planner'!J123</f>
        <v/>
      </c>
      <c r="J123" s="16" t="e">
        <f>'Job Planner'!N123</f>
        <v>#VALUE!</v>
      </c>
      <c r="K123" s="16" t="str">
        <f>IF(C123="BC",J123*'Mix Design'!$B$4,IF(C123="DBM",J123*'Mix Design'!$C$4,""))</f>
        <v/>
      </c>
      <c r="L123" s="16" t="str">
        <f>IF(C123="BC",J123*'Mix Design'!$B$5,IF(C123="DBM",J123*'Mix Design'!$C$5,""))</f>
        <v/>
      </c>
      <c r="M123" s="16" t="str">
        <f>IF(C123="BC",J123*'Mix Design'!$B$6,IF(C123="DBM",J123*'Mix Design'!$C$6,""))</f>
        <v/>
      </c>
      <c r="N123" s="16" t="str">
        <f>IF(C123="BC",J123*'Mix Design'!$B$7,IF(C123="DBM",J123*'Mix Design'!$C$7,""))</f>
        <v/>
      </c>
      <c r="O123" s="16" t="str">
        <f>IF(C123="BC",J123*'Mix Design'!$B$8,IF(C123="DBM",J123*'Mix Design'!$C$8,""))</f>
        <v/>
      </c>
      <c r="P123" s="16" t="str">
        <f>IF(C123="BC",J123*'Mix Design'!$B$9,IF(C123="DBM",J123*'Mix Design'!$C$9,""))</f>
        <v/>
      </c>
      <c r="Q123" s="16" t="e">
        <f>'Job Planner'!P123</f>
        <v>#VALUE!</v>
      </c>
      <c r="R123" s="16" t="e">
        <f>'Job Planner'!Q123</f>
        <v>#VALUE!</v>
      </c>
      <c r="S123" s="16" t="e">
        <f>'Job Planner'!S123</f>
        <v>#VALUE!</v>
      </c>
      <c r="T123" s="16" t="e">
        <f>'Job Planner'!Z123</f>
        <v>#VALUE!</v>
      </c>
      <c r="U123" s="16" t="e">
        <f>'Job Planner'!AB123</f>
        <v>#VALUE!</v>
      </c>
      <c r="V123" s="16">
        <f>'Job Planner'!AE123</f>
        <v>0</v>
      </c>
      <c r="W123" s="16">
        <f>'Job Planner'!AF123</f>
        <v>0</v>
      </c>
      <c r="X123" s="16" t="e">
        <f>'Job Planner'!AG123</f>
        <v>#VALUE!</v>
      </c>
    </row>
    <row r="124" spans="1:24" x14ac:dyDescent="0.2">
      <c r="A124" s="5">
        <f>'Job Planner'!A124</f>
        <v>0</v>
      </c>
      <c r="B124" s="14">
        <f>'Job Planner'!B124</f>
        <v>0</v>
      </c>
      <c r="C124" s="13">
        <f>'Job Planner'!C124</f>
        <v>0</v>
      </c>
      <c r="D124" s="14">
        <f>'Job Planner'!D124</f>
        <v>0</v>
      </c>
      <c r="E124" s="13" t="str">
        <f>IF('Job Planner'!D124="GEOMETRY",'Job Planner'!E124,'Job Planner'!K124)</f>
        <v/>
      </c>
      <c r="F124" s="16">
        <f>'Job Planner'!F124</f>
        <v>0</v>
      </c>
      <c r="G124" s="16">
        <f>'Job Planner'!G124</f>
        <v>0</v>
      </c>
      <c r="H124" s="16" t="str">
        <f>'Job Planner'!I124</f>
        <v/>
      </c>
      <c r="I124" s="16" t="str">
        <f>'Job Planner'!J124</f>
        <v/>
      </c>
      <c r="J124" s="16" t="e">
        <f>'Job Planner'!N124</f>
        <v>#VALUE!</v>
      </c>
      <c r="K124" s="16" t="str">
        <f>IF(C124="BC",J124*'Mix Design'!$B$4,IF(C124="DBM",J124*'Mix Design'!$C$4,""))</f>
        <v/>
      </c>
      <c r="L124" s="16" t="str">
        <f>IF(C124="BC",J124*'Mix Design'!$B$5,IF(C124="DBM",J124*'Mix Design'!$C$5,""))</f>
        <v/>
      </c>
      <c r="M124" s="16" t="str">
        <f>IF(C124="BC",J124*'Mix Design'!$B$6,IF(C124="DBM",J124*'Mix Design'!$C$6,""))</f>
        <v/>
      </c>
      <c r="N124" s="16" t="str">
        <f>IF(C124="BC",J124*'Mix Design'!$B$7,IF(C124="DBM",J124*'Mix Design'!$C$7,""))</f>
        <v/>
      </c>
      <c r="O124" s="16" t="str">
        <f>IF(C124="BC",J124*'Mix Design'!$B$8,IF(C124="DBM",J124*'Mix Design'!$C$8,""))</f>
        <v/>
      </c>
      <c r="P124" s="16" t="str">
        <f>IF(C124="BC",J124*'Mix Design'!$B$9,IF(C124="DBM",J124*'Mix Design'!$C$9,""))</f>
        <v/>
      </c>
      <c r="Q124" s="16" t="e">
        <f>'Job Planner'!P124</f>
        <v>#VALUE!</v>
      </c>
      <c r="R124" s="16" t="e">
        <f>'Job Planner'!Q124</f>
        <v>#VALUE!</v>
      </c>
      <c r="S124" s="16" t="e">
        <f>'Job Planner'!S124</f>
        <v>#VALUE!</v>
      </c>
      <c r="T124" s="16" t="e">
        <f>'Job Planner'!Z124</f>
        <v>#VALUE!</v>
      </c>
      <c r="U124" s="16" t="e">
        <f>'Job Planner'!AB124</f>
        <v>#VALUE!</v>
      </c>
      <c r="V124" s="16">
        <f>'Job Planner'!AE124</f>
        <v>0</v>
      </c>
      <c r="W124" s="16">
        <f>'Job Planner'!AF124</f>
        <v>0</v>
      </c>
      <c r="X124" s="16" t="e">
        <f>'Job Planner'!AG124</f>
        <v>#VALUE!</v>
      </c>
    </row>
    <row r="125" spans="1:24" x14ac:dyDescent="0.2">
      <c r="A125" s="5">
        <f>'Job Planner'!A125</f>
        <v>0</v>
      </c>
      <c r="B125" s="14">
        <f>'Job Planner'!B125</f>
        <v>0</v>
      </c>
      <c r="C125" s="13">
        <f>'Job Planner'!C125</f>
        <v>0</v>
      </c>
      <c r="D125" s="14">
        <f>'Job Planner'!D125</f>
        <v>0</v>
      </c>
      <c r="E125" s="13" t="str">
        <f>IF('Job Planner'!D125="GEOMETRY",'Job Planner'!E125,'Job Planner'!K125)</f>
        <v/>
      </c>
      <c r="F125" s="16">
        <f>'Job Planner'!F125</f>
        <v>0</v>
      </c>
      <c r="G125" s="16">
        <f>'Job Planner'!G125</f>
        <v>0</v>
      </c>
      <c r="H125" s="16" t="str">
        <f>'Job Planner'!I125</f>
        <v/>
      </c>
      <c r="I125" s="16" t="str">
        <f>'Job Planner'!J125</f>
        <v/>
      </c>
      <c r="J125" s="16" t="e">
        <f>'Job Planner'!N125</f>
        <v>#VALUE!</v>
      </c>
      <c r="K125" s="16" t="str">
        <f>IF(C125="BC",J125*'Mix Design'!$B$4,IF(C125="DBM",J125*'Mix Design'!$C$4,""))</f>
        <v/>
      </c>
      <c r="L125" s="16" t="str">
        <f>IF(C125="BC",J125*'Mix Design'!$B$5,IF(C125="DBM",J125*'Mix Design'!$C$5,""))</f>
        <v/>
      </c>
      <c r="M125" s="16" t="str">
        <f>IF(C125="BC",J125*'Mix Design'!$B$6,IF(C125="DBM",J125*'Mix Design'!$C$6,""))</f>
        <v/>
      </c>
      <c r="N125" s="16" t="str">
        <f>IF(C125="BC",J125*'Mix Design'!$B$7,IF(C125="DBM",J125*'Mix Design'!$C$7,""))</f>
        <v/>
      </c>
      <c r="O125" s="16" t="str">
        <f>IF(C125="BC",J125*'Mix Design'!$B$8,IF(C125="DBM",J125*'Mix Design'!$C$8,""))</f>
        <v/>
      </c>
      <c r="P125" s="16" t="str">
        <f>IF(C125="BC",J125*'Mix Design'!$B$9,IF(C125="DBM",J125*'Mix Design'!$C$9,""))</f>
        <v/>
      </c>
      <c r="Q125" s="16" t="e">
        <f>'Job Planner'!P125</f>
        <v>#VALUE!</v>
      </c>
      <c r="R125" s="16" t="e">
        <f>'Job Planner'!Q125</f>
        <v>#VALUE!</v>
      </c>
      <c r="S125" s="16" t="e">
        <f>'Job Planner'!S125</f>
        <v>#VALUE!</v>
      </c>
      <c r="T125" s="16" t="e">
        <f>'Job Planner'!Z125</f>
        <v>#VALUE!</v>
      </c>
      <c r="U125" s="16" t="e">
        <f>'Job Planner'!AB125</f>
        <v>#VALUE!</v>
      </c>
      <c r="V125" s="16">
        <f>'Job Planner'!AE125</f>
        <v>0</v>
      </c>
      <c r="W125" s="16">
        <f>'Job Planner'!AF125</f>
        <v>0</v>
      </c>
      <c r="X125" s="16" t="e">
        <f>'Job Planner'!AG125</f>
        <v>#VALUE!</v>
      </c>
    </row>
    <row r="126" spans="1:24" x14ac:dyDescent="0.2">
      <c r="A126" s="5">
        <f>'Job Planner'!A126</f>
        <v>0</v>
      </c>
      <c r="B126" s="14">
        <f>'Job Planner'!B126</f>
        <v>0</v>
      </c>
      <c r="C126" s="13">
        <f>'Job Planner'!C126</f>
        <v>0</v>
      </c>
      <c r="D126" s="14">
        <f>'Job Planner'!D126</f>
        <v>0</v>
      </c>
      <c r="E126" s="13" t="str">
        <f>IF('Job Planner'!D126="GEOMETRY",'Job Planner'!E126,'Job Planner'!K126)</f>
        <v/>
      </c>
      <c r="F126" s="16">
        <f>'Job Planner'!F126</f>
        <v>0</v>
      </c>
      <c r="G126" s="16">
        <f>'Job Planner'!G126</f>
        <v>0</v>
      </c>
      <c r="H126" s="16" t="str">
        <f>'Job Planner'!I126</f>
        <v/>
      </c>
      <c r="I126" s="16" t="str">
        <f>'Job Planner'!J126</f>
        <v/>
      </c>
      <c r="J126" s="16" t="e">
        <f>'Job Planner'!N126</f>
        <v>#VALUE!</v>
      </c>
      <c r="K126" s="16" t="str">
        <f>IF(C126="BC",J126*'Mix Design'!$B$4,IF(C126="DBM",J126*'Mix Design'!$C$4,""))</f>
        <v/>
      </c>
      <c r="L126" s="16" t="str">
        <f>IF(C126="BC",J126*'Mix Design'!$B$5,IF(C126="DBM",J126*'Mix Design'!$C$5,""))</f>
        <v/>
      </c>
      <c r="M126" s="16" t="str">
        <f>IF(C126="BC",J126*'Mix Design'!$B$6,IF(C126="DBM",J126*'Mix Design'!$C$6,""))</f>
        <v/>
      </c>
      <c r="N126" s="16" t="str">
        <f>IF(C126="BC",J126*'Mix Design'!$B$7,IF(C126="DBM",J126*'Mix Design'!$C$7,""))</f>
        <v/>
      </c>
      <c r="O126" s="16" t="str">
        <f>IF(C126="BC",J126*'Mix Design'!$B$8,IF(C126="DBM",J126*'Mix Design'!$C$8,""))</f>
        <v/>
      </c>
      <c r="P126" s="16" t="str">
        <f>IF(C126="BC",J126*'Mix Design'!$B$9,IF(C126="DBM",J126*'Mix Design'!$C$9,""))</f>
        <v/>
      </c>
      <c r="Q126" s="16" t="e">
        <f>'Job Planner'!P126</f>
        <v>#VALUE!</v>
      </c>
      <c r="R126" s="16" t="e">
        <f>'Job Planner'!Q126</f>
        <v>#VALUE!</v>
      </c>
      <c r="S126" s="16" t="e">
        <f>'Job Planner'!S126</f>
        <v>#VALUE!</v>
      </c>
      <c r="T126" s="16" t="e">
        <f>'Job Planner'!Z126</f>
        <v>#VALUE!</v>
      </c>
      <c r="U126" s="16" t="e">
        <f>'Job Planner'!AB126</f>
        <v>#VALUE!</v>
      </c>
      <c r="V126" s="16">
        <f>'Job Planner'!AE126</f>
        <v>0</v>
      </c>
      <c r="W126" s="16">
        <f>'Job Planner'!AF126</f>
        <v>0</v>
      </c>
      <c r="X126" s="16" t="e">
        <f>'Job Planner'!AG126</f>
        <v>#VALUE!</v>
      </c>
    </row>
    <row r="127" spans="1:24" x14ac:dyDescent="0.2">
      <c r="A127" s="5">
        <f>'Job Planner'!A127</f>
        <v>0</v>
      </c>
      <c r="B127" s="14">
        <f>'Job Planner'!B127</f>
        <v>0</v>
      </c>
      <c r="C127" s="13">
        <f>'Job Planner'!C127</f>
        <v>0</v>
      </c>
      <c r="D127" s="14">
        <f>'Job Planner'!D127</f>
        <v>0</v>
      </c>
      <c r="E127" s="13" t="str">
        <f>IF('Job Planner'!D127="GEOMETRY",'Job Planner'!E127,'Job Planner'!K127)</f>
        <v/>
      </c>
      <c r="F127" s="16">
        <f>'Job Planner'!F127</f>
        <v>0</v>
      </c>
      <c r="G127" s="16">
        <f>'Job Planner'!G127</f>
        <v>0</v>
      </c>
      <c r="H127" s="16" t="str">
        <f>'Job Planner'!I127</f>
        <v/>
      </c>
      <c r="I127" s="16" t="str">
        <f>'Job Planner'!J127</f>
        <v/>
      </c>
      <c r="J127" s="16" t="e">
        <f>'Job Planner'!N127</f>
        <v>#VALUE!</v>
      </c>
      <c r="K127" s="16" t="str">
        <f>IF(C127="BC",J127*'Mix Design'!$B$4,IF(C127="DBM",J127*'Mix Design'!$C$4,""))</f>
        <v/>
      </c>
      <c r="L127" s="16" t="str">
        <f>IF(C127="BC",J127*'Mix Design'!$B$5,IF(C127="DBM",J127*'Mix Design'!$C$5,""))</f>
        <v/>
      </c>
      <c r="M127" s="16" t="str">
        <f>IF(C127="BC",J127*'Mix Design'!$B$6,IF(C127="DBM",J127*'Mix Design'!$C$6,""))</f>
        <v/>
      </c>
      <c r="N127" s="16" t="str">
        <f>IF(C127="BC",J127*'Mix Design'!$B$7,IF(C127="DBM",J127*'Mix Design'!$C$7,""))</f>
        <v/>
      </c>
      <c r="O127" s="16" t="str">
        <f>IF(C127="BC",J127*'Mix Design'!$B$8,IF(C127="DBM",J127*'Mix Design'!$C$8,""))</f>
        <v/>
      </c>
      <c r="P127" s="16" t="str">
        <f>IF(C127="BC",J127*'Mix Design'!$B$9,IF(C127="DBM",J127*'Mix Design'!$C$9,""))</f>
        <v/>
      </c>
      <c r="Q127" s="16" t="e">
        <f>'Job Planner'!P127</f>
        <v>#VALUE!</v>
      </c>
      <c r="R127" s="16" t="e">
        <f>'Job Planner'!Q127</f>
        <v>#VALUE!</v>
      </c>
      <c r="S127" s="16" t="e">
        <f>'Job Planner'!S127</f>
        <v>#VALUE!</v>
      </c>
      <c r="T127" s="16" t="e">
        <f>'Job Planner'!Z127</f>
        <v>#VALUE!</v>
      </c>
      <c r="U127" s="16" t="e">
        <f>'Job Planner'!AB127</f>
        <v>#VALUE!</v>
      </c>
      <c r="V127" s="16">
        <f>'Job Planner'!AE127</f>
        <v>0</v>
      </c>
      <c r="W127" s="16">
        <f>'Job Planner'!AF127</f>
        <v>0</v>
      </c>
      <c r="X127" s="16" t="e">
        <f>'Job Planner'!AG127</f>
        <v>#VALUE!</v>
      </c>
    </row>
    <row r="128" spans="1:24" x14ac:dyDescent="0.2">
      <c r="A128" s="5">
        <f>'Job Planner'!A128</f>
        <v>0</v>
      </c>
      <c r="B128" s="14">
        <f>'Job Planner'!B128</f>
        <v>0</v>
      </c>
      <c r="C128" s="13">
        <f>'Job Planner'!C128</f>
        <v>0</v>
      </c>
      <c r="D128" s="14">
        <f>'Job Planner'!D128</f>
        <v>0</v>
      </c>
      <c r="E128" s="13" t="str">
        <f>IF('Job Planner'!D128="GEOMETRY",'Job Planner'!E128,'Job Planner'!K128)</f>
        <v/>
      </c>
      <c r="F128" s="16">
        <f>'Job Planner'!F128</f>
        <v>0</v>
      </c>
      <c r="G128" s="16">
        <f>'Job Planner'!G128</f>
        <v>0</v>
      </c>
      <c r="H128" s="16" t="str">
        <f>'Job Planner'!I128</f>
        <v/>
      </c>
      <c r="I128" s="16" t="str">
        <f>'Job Planner'!J128</f>
        <v/>
      </c>
      <c r="J128" s="16" t="e">
        <f>'Job Planner'!N128</f>
        <v>#VALUE!</v>
      </c>
      <c r="K128" s="16" t="str">
        <f>IF(C128="BC",J128*'Mix Design'!$B$4,IF(C128="DBM",J128*'Mix Design'!$C$4,""))</f>
        <v/>
      </c>
      <c r="L128" s="16" t="str">
        <f>IF(C128="BC",J128*'Mix Design'!$B$5,IF(C128="DBM",J128*'Mix Design'!$C$5,""))</f>
        <v/>
      </c>
      <c r="M128" s="16" t="str">
        <f>IF(C128="BC",J128*'Mix Design'!$B$6,IF(C128="DBM",J128*'Mix Design'!$C$6,""))</f>
        <v/>
      </c>
      <c r="N128" s="16" t="str">
        <f>IF(C128="BC",J128*'Mix Design'!$B$7,IF(C128="DBM",J128*'Mix Design'!$C$7,""))</f>
        <v/>
      </c>
      <c r="O128" s="16" t="str">
        <f>IF(C128="BC",J128*'Mix Design'!$B$8,IF(C128="DBM",J128*'Mix Design'!$C$8,""))</f>
        <v/>
      </c>
      <c r="P128" s="16" t="str">
        <f>IF(C128="BC",J128*'Mix Design'!$B$9,IF(C128="DBM",J128*'Mix Design'!$C$9,""))</f>
        <v/>
      </c>
      <c r="Q128" s="16" t="e">
        <f>'Job Planner'!P128</f>
        <v>#VALUE!</v>
      </c>
      <c r="R128" s="16" t="e">
        <f>'Job Planner'!Q128</f>
        <v>#VALUE!</v>
      </c>
      <c r="S128" s="16" t="e">
        <f>'Job Planner'!S128</f>
        <v>#VALUE!</v>
      </c>
      <c r="T128" s="16" t="e">
        <f>'Job Planner'!Z128</f>
        <v>#VALUE!</v>
      </c>
      <c r="U128" s="16" t="e">
        <f>'Job Planner'!AB128</f>
        <v>#VALUE!</v>
      </c>
      <c r="V128" s="16">
        <f>'Job Planner'!AE128</f>
        <v>0</v>
      </c>
      <c r="W128" s="16">
        <f>'Job Planner'!AF128</f>
        <v>0</v>
      </c>
      <c r="X128" s="16" t="e">
        <f>'Job Planner'!AG128</f>
        <v>#VALUE!</v>
      </c>
    </row>
    <row r="129" spans="1:24" x14ac:dyDescent="0.2">
      <c r="A129" s="5">
        <f>'Job Planner'!A129</f>
        <v>0</v>
      </c>
      <c r="B129" s="14">
        <f>'Job Planner'!B129</f>
        <v>0</v>
      </c>
      <c r="C129" s="13">
        <f>'Job Planner'!C129</f>
        <v>0</v>
      </c>
      <c r="D129" s="14">
        <f>'Job Planner'!D129</f>
        <v>0</v>
      </c>
      <c r="E129" s="13" t="str">
        <f>IF('Job Planner'!D129="GEOMETRY",'Job Planner'!E129,'Job Planner'!K129)</f>
        <v/>
      </c>
      <c r="F129" s="16">
        <f>'Job Planner'!F129</f>
        <v>0</v>
      </c>
      <c r="G129" s="16">
        <f>'Job Planner'!G129</f>
        <v>0</v>
      </c>
      <c r="H129" s="16" t="str">
        <f>'Job Planner'!I129</f>
        <v/>
      </c>
      <c r="I129" s="16" t="str">
        <f>'Job Planner'!J129</f>
        <v/>
      </c>
      <c r="J129" s="16" t="e">
        <f>'Job Planner'!N129</f>
        <v>#VALUE!</v>
      </c>
      <c r="K129" s="16" t="str">
        <f>IF(C129="BC",J129*'Mix Design'!$B$4,IF(C129="DBM",J129*'Mix Design'!$C$4,""))</f>
        <v/>
      </c>
      <c r="L129" s="16" t="str">
        <f>IF(C129="BC",J129*'Mix Design'!$B$5,IF(C129="DBM",J129*'Mix Design'!$C$5,""))</f>
        <v/>
      </c>
      <c r="M129" s="16" t="str">
        <f>IF(C129="BC",J129*'Mix Design'!$B$6,IF(C129="DBM",J129*'Mix Design'!$C$6,""))</f>
        <v/>
      </c>
      <c r="N129" s="16" t="str">
        <f>IF(C129="BC",J129*'Mix Design'!$B$7,IF(C129="DBM",J129*'Mix Design'!$C$7,""))</f>
        <v/>
      </c>
      <c r="O129" s="16" t="str">
        <f>IF(C129="BC",J129*'Mix Design'!$B$8,IF(C129="DBM",J129*'Mix Design'!$C$8,""))</f>
        <v/>
      </c>
      <c r="P129" s="16" t="str">
        <f>IF(C129="BC",J129*'Mix Design'!$B$9,IF(C129="DBM",J129*'Mix Design'!$C$9,""))</f>
        <v/>
      </c>
      <c r="Q129" s="16" t="e">
        <f>'Job Planner'!P129</f>
        <v>#VALUE!</v>
      </c>
      <c r="R129" s="16" t="e">
        <f>'Job Planner'!Q129</f>
        <v>#VALUE!</v>
      </c>
      <c r="S129" s="16" t="e">
        <f>'Job Planner'!S129</f>
        <v>#VALUE!</v>
      </c>
      <c r="T129" s="16" t="e">
        <f>'Job Planner'!Z129</f>
        <v>#VALUE!</v>
      </c>
      <c r="U129" s="16" t="e">
        <f>'Job Planner'!AB129</f>
        <v>#VALUE!</v>
      </c>
      <c r="V129" s="16">
        <f>'Job Planner'!AE129</f>
        <v>0</v>
      </c>
      <c r="W129" s="16">
        <f>'Job Planner'!AF129</f>
        <v>0</v>
      </c>
      <c r="X129" s="16" t="e">
        <f>'Job Planner'!AG129</f>
        <v>#VALUE!</v>
      </c>
    </row>
    <row r="130" spans="1:24" x14ac:dyDescent="0.2">
      <c r="A130" s="5">
        <f>'Job Planner'!A130</f>
        <v>0</v>
      </c>
      <c r="B130" s="14">
        <f>'Job Planner'!B130</f>
        <v>0</v>
      </c>
      <c r="C130" s="13">
        <f>'Job Planner'!C130</f>
        <v>0</v>
      </c>
      <c r="D130" s="14">
        <f>'Job Planner'!D130</f>
        <v>0</v>
      </c>
      <c r="E130" s="13" t="str">
        <f>IF('Job Planner'!D130="GEOMETRY",'Job Planner'!E130,'Job Planner'!K130)</f>
        <v/>
      </c>
      <c r="F130" s="16">
        <f>'Job Planner'!F130</f>
        <v>0</v>
      </c>
      <c r="G130" s="16">
        <f>'Job Planner'!G130</f>
        <v>0</v>
      </c>
      <c r="H130" s="16" t="str">
        <f>'Job Planner'!I130</f>
        <v/>
      </c>
      <c r="I130" s="16" t="str">
        <f>'Job Planner'!J130</f>
        <v/>
      </c>
      <c r="J130" s="16" t="e">
        <f>'Job Planner'!N130</f>
        <v>#VALUE!</v>
      </c>
      <c r="K130" s="16" t="str">
        <f>IF(C130="BC",J130*'Mix Design'!$B$4,IF(C130="DBM",J130*'Mix Design'!$C$4,""))</f>
        <v/>
      </c>
      <c r="L130" s="16" t="str">
        <f>IF(C130="BC",J130*'Mix Design'!$B$5,IF(C130="DBM",J130*'Mix Design'!$C$5,""))</f>
        <v/>
      </c>
      <c r="M130" s="16" t="str">
        <f>IF(C130="BC",J130*'Mix Design'!$B$6,IF(C130="DBM",J130*'Mix Design'!$C$6,""))</f>
        <v/>
      </c>
      <c r="N130" s="16" t="str">
        <f>IF(C130="BC",J130*'Mix Design'!$B$7,IF(C130="DBM",J130*'Mix Design'!$C$7,""))</f>
        <v/>
      </c>
      <c r="O130" s="16" t="str">
        <f>IF(C130="BC",J130*'Mix Design'!$B$8,IF(C130="DBM",J130*'Mix Design'!$C$8,""))</f>
        <v/>
      </c>
      <c r="P130" s="16" t="str">
        <f>IF(C130="BC",J130*'Mix Design'!$B$9,IF(C130="DBM",J130*'Mix Design'!$C$9,""))</f>
        <v/>
      </c>
      <c r="Q130" s="16" t="e">
        <f>'Job Planner'!P130</f>
        <v>#VALUE!</v>
      </c>
      <c r="R130" s="16" t="e">
        <f>'Job Planner'!Q130</f>
        <v>#VALUE!</v>
      </c>
      <c r="S130" s="16" t="e">
        <f>'Job Planner'!S130</f>
        <v>#VALUE!</v>
      </c>
      <c r="T130" s="16" t="e">
        <f>'Job Planner'!Z130</f>
        <v>#VALUE!</v>
      </c>
      <c r="U130" s="16" t="e">
        <f>'Job Planner'!AB130</f>
        <v>#VALUE!</v>
      </c>
      <c r="V130" s="16">
        <f>'Job Planner'!AE130</f>
        <v>0</v>
      </c>
      <c r="W130" s="16">
        <f>'Job Planner'!AF130</f>
        <v>0</v>
      </c>
      <c r="X130" s="16" t="e">
        <f>'Job Planner'!AG130</f>
        <v>#VALUE!</v>
      </c>
    </row>
    <row r="131" spans="1:24" x14ac:dyDescent="0.2">
      <c r="A131" s="5">
        <f>'Job Planner'!A131</f>
        <v>0</v>
      </c>
      <c r="B131" s="14">
        <f>'Job Planner'!B131</f>
        <v>0</v>
      </c>
      <c r="C131" s="13">
        <f>'Job Planner'!C131</f>
        <v>0</v>
      </c>
      <c r="D131" s="14">
        <f>'Job Planner'!D131</f>
        <v>0</v>
      </c>
      <c r="E131" s="13" t="str">
        <f>IF('Job Planner'!D131="GEOMETRY",'Job Planner'!E131,'Job Planner'!K131)</f>
        <v/>
      </c>
      <c r="F131" s="16">
        <f>'Job Planner'!F131</f>
        <v>0</v>
      </c>
      <c r="G131" s="16">
        <f>'Job Planner'!G131</f>
        <v>0</v>
      </c>
      <c r="H131" s="16" t="str">
        <f>'Job Planner'!I131</f>
        <v/>
      </c>
      <c r="I131" s="16" t="str">
        <f>'Job Planner'!J131</f>
        <v/>
      </c>
      <c r="J131" s="16" t="e">
        <f>'Job Planner'!N131</f>
        <v>#VALUE!</v>
      </c>
      <c r="K131" s="16" t="str">
        <f>IF(C131="BC",J131*'Mix Design'!$B$4,IF(C131="DBM",J131*'Mix Design'!$C$4,""))</f>
        <v/>
      </c>
      <c r="L131" s="16" t="str">
        <f>IF(C131="BC",J131*'Mix Design'!$B$5,IF(C131="DBM",J131*'Mix Design'!$C$5,""))</f>
        <v/>
      </c>
      <c r="M131" s="16" t="str">
        <f>IF(C131="BC",J131*'Mix Design'!$B$6,IF(C131="DBM",J131*'Mix Design'!$C$6,""))</f>
        <v/>
      </c>
      <c r="N131" s="16" t="str">
        <f>IF(C131="BC",J131*'Mix Design'!$B$7,IF(C131="DBM",J131*'Mix Design'!$C$7,""))</f>
        <v/>
      </c>
      <c r="O131" s="16" t="str">
        <f>IF(C131="BC",J131*'Mix Design'!$B$8,IF(C131="DBM",J131*'Mix Design'!$C$8,""))</f>
        <v/>
      </c>
      <c r="P131" s="16" t="str">
        <f>IF(C131="BC",J131*'Mix Design'!$B$9,IF(C131="DBM",J131*'Mix Design'!$C$9,""))</f>
        <v/>
      </c>
      <c r="Q131" s="16" t="e">
        <f>'Job Planner'!P131</f>
        <v>#VALUE!</v>
      </c>
      <c r="R131" s="16" t="e">
        <f>'Job Planner'!Q131</f>
        <v>#VALUE!</v>
      </c>
      <c r="S131" s="16" t="e">
        <f>'Job Planner'!S131</f>
        <v>#VALUE!</v>
      </c>
      <c r="T131" s="16" t="e">
        <f>'Job Planner'!Z131</f>
        <v>#VALUE!</v>
      </c>
      <c r="U131" s="16" t="e">
        <f>'Job Planner'!AB131</f>
        <v>#VALUE!</v>
      </c>
      <c r="V131" s="16">
        <f>'Job Planner'!AE131</f>
        <v>0</v>
      </c>
      <c r="W131" s="16">
        <f>'Job Planner'!AF131</f>
        <v>0</v>
      </c>
      <c r="X131" s="16" t="e">
        <f>'Job Planner'!AG131</f>
        <v>#VALUE!</v>
      </c>
    </row>
    <row r="132" spans="1:24" x14ac:dyDescent="0.2">
      <c r="A132" s="5">
        <f>'Job Planner'!A132</f>
        <v>0</v>
      </c>
      <c r="B132" s="14">
        <f>'Job Planner'!B132</f>
        <v>0</v>
      </c>
      <c r="C132" s="13">
        <f>'Job Planner'!C132</f>
        <v>0</v>
      </c>
      <c r="D132" s="14">
        <f>'Job Planner'!D132</f>
        <v>0</v>
      </c>
      <c r="E132" s="13" t="str">
        <f>IF('Job Planner'!D132="GEOMETRY",'Job Planner'!E132,'Job Planner'!K132)</f>
        <v/>
      </c>
      <c r="F132" s="16">
        <f>'Job Planner'!F132</f>
        <v>0</v>
      </c>
      <c r="G132" s="16">
        <f>'Job Planner'!G132</f>
        <v>0</v>
      </c>
      <c r="H132" s="16" t="str">
        <f>'Job Planner'!I132</f>
        <v/>
      </c>
      <c r="I132" s="16" t="str">
        <f>'Job Planner'!J132</f>
        <v/>
      </c>
      <c r="J132" s="16" t="e">
        <f>'Job Planner'!N132</f>
        <v>#VALUE!</v>
      </c>
      <c r="K132" s="16" t="str">
        <f>IF(C132="BC",J132*'Mix Design'!$B$4,IF(C132="DBM",J132*'Mix Design'!$C$4,""))</f>
        <v/>
      </c>
      <c r="L132" s="16" t="str">
        <f>IF(C132="BC",J132*'Mix Design'!$B$5,IF(C132="DBM",J132*'Mix Design'!$C$5,""))</f>
        <v/>
      </c>
      <c r="M132" s="16" t="str">
        <f>IF(C132="BC",J132*'Mix Design'!$B$6,IF(C132="DBM",J132*'Mix Design'!$C$6,""))</f>
        <v/>
      </c>
      <c r="N132" s="16" t="str">
        <f>IF(C132="BC",J132*'Mix Design'!$B$7,IF(C132="DBM",J132*'Mix Design'!$C$7,""))</f>
        <v/>
      </c>
      <c r="O132" s="16" t="str">
        <f>IF(C132="BC",J132*'Mix Design'!$B$8,IF(C132="DBM",J132*'Mix Design'!$C$8,""))</f>
        <v/>
      </c>
      <c r="P132" s="16" t="str">
        <f>IF(C132="BC",J132*'Mix Design'!$B$9,IF(C132="DBM",J132*'Mix Design'!$C$9,""))</f>
        <v/>
      </c>
      <c r="Q132" s="16" t="e">
        <f>'Job Planner'!P132</f>
        <v>#VALUE!</v>
      </c>
      <c r="R132" s="16" t="e">
        <f>'Job Planner'!Q132</f>
        <v>#VALUE!</v>
      </c>
      <c r="S132" s="16" t="e">
        <f>'Job Planner'!S132</f>
        <v>#VALUE!</v>
      </c>
      <c r="T132" s="16" t="e">
        <f>'Job Planner'!Z132</f>
        <v>#VALUE!</v>
      </c>
      <c r="U132" s="16" t="e">
        <f>'Job Planner'!AB132</f>
        <v>#VALUE!</v>
      </c>
      <c r="V132" s="16">
        <f>'Job Planner'!AE132</f>
        <v>0</v>
      </c>
      <c r="W132" s="16">
        <f>'Job Planner'!AF132</f>
        <v>0</v>
      </c>
      <c r="X132" s="16" t="e">
        <f>'Job Planner'!AG132</f>
        <v>#VALUE!</v>
      </c>
    </row>
    <row r="133" spans="1:24" x14ac:dyDescent="0.2">
      <c r="A133" s="5">
        <f>'Job Planner'!A133</f>
        <v>0</v>
      </c>
      <c r="B133" s="14">
        <f>'Job Planner'!B133</f>
        <v>0</v>
      </c>
      <c r="C133" s="13">
        <f>'Job Planner'!C133</f>
        <v>0</v>
      </c>
      <c r="D133" s="14">
        <f>'Job Planner'!D133</f>
        <v>0</v>
      </c>
      <c r="E133" s="13" t="str">
        <f>IF('Job Planner'!D133="GEOMETRY",'Job Planner'!E133,'Job Planner'!K133)</f>
        <v/>
      </c>
      <c r="F133" s="16">
        <f>'Job Planner'!F133</f>
        <v>0</v>
      </c>
      <c r="G133" s="16">
        <f>'Job Planner'!G133</f>
        <v>0</v>
      </c>
      <c r="H133" s="16" t="str">
        <f>'Job Planner'!I133</f>
        <v/>
      </c>
      <c r="I133" s="16" t="str">
        <f>'Job Planner'!J133</f>
        <v/>
      </c>
      <c r="J133" s="16" t="e">
        <f>'Job Planner'!N133</f>
        <v>#VALUE!</v>
      </c>
      <c r="K133" s="16" t="str">
        <f>IF(C133="BC",J133*'Mix Design'!$B$4,IF(C133="DBM",J133*'Mix Design'!$C$4,""))</f>
        <v/>
      </c>
      <c r="L133" s="16" t="str">
        <f>IF(C133="BC",J133*'Mix Design'!$B$5,IF(C133="DBM",J133*'Mix Design'!$C$5,""))</f>
        <v/>
      </c>
      <c r="M133" s="16" t="str">
        <f>IF(C133="BC",J133*'Mix Design'!$B$6,IF(C133="DBM",J133*'Mix Design'!$C$6,""))</f>
        <v/>
      </c>
      <c r="N133" s="16" t="str">
        <f>IF(C133="BC",J133*'Mix Design'!$B$7,IF(C133="DBM",J133*'Mix Design'!$C$7,""))</f>
        <v/>
      </c>
      <c r="O133" s="16" t="str">
        <f>IF(C133="BC",J133*'Mix Design'!$B$8,IF(C133="DBM",J133*'Mix Design'!$C$8,""))</f>
        <v/>
      </c>
      <c r="P133" s="16" t="str">
        <f>IF(C133="BC",J133*'Mix Design'!$B$9,IF(C133="DBM",J133*'Mix Design'!$C$9,""))</f>
        <v/>
      </c>
      <c r="Q133" s="16" t="e">
        <f>'Job Planner'!P133</f>
        <v>#VALUE!</v>
      </c>
      <c r="R133" s="16" t="e">
        <f>'Job Planner'!Q133</f>
        <v>#VALUE!</v>
      </c>
      <c r="S133" s="16" t="e">
        <f>'Job Planner'!S133</f>
        <v>#VALUE!</v>
      </c>
      <c r="T133" s="16" t="e">
        <f>'Job Planner'!Z133</f>
        <v>#VALUE!</v>
      </c>
      <c r="U133" s="16" t="e">
        <f>'Job Planner'!AB133</f>
        <v>#VALUE!</v>
      </c>
      <c r="V133" s="16">
        <f>'Job Planner'!AE133</f>
        <v>0</v>
      </c>
      <c r="W133" s="16">
        <f>'Job Planner'!AF133</f>
        <v>0</v>
      </c>
      <c r="X133" s="16" t="e">
        <f>'Job Planner'!AG133</f>
        <v>#VALUE!</v>
      </c>
    </row>
    <row r="134" spans="1:24" x14ac:dyDescent="0.2">
      <c r="A134" s="5">
        <f>'Job Planner'!A134</f>
        <v>0</v>
      </c>
      <c r="B134" s="14">
        <f>'Job Planner'!B134</f>
        <v>0</v>
      </c>
      <c r="C134" s="13">
        <f>'Job Planner'!C134</f>
        <v>0</v>
      </c>
      <c r="D134" s="14">
        <f>'Job Planner'!D134</f>
        <v>0</v>
      </c>
      <c r="E134" s="13" t="str">
        <f>IF('Job Planner'!D134="GEOMETRY",'Job Planner'!E134,'Job Planner'!K134)</f>
        <v/>
      </c>
      <c r="F134" s="16">
        <f>'Job Planner'!F134</f>
        <v>0</v>
      </c>
      <c r="G134" s="16">
        <f>'Job Planner'!G134</f>
        <v>0</v>
      </c>
      <c r="H134" s="16" t="str">
        <f>'Job Planner'!I134</f>
        <v/>
      </c>
      <c r="I134" s="16" t="str">
        <f>'Job Planner'!J134</f>
        <v/>
      </c>
      <c r="J134" s="16" t="e">
        <f>'Job Planner'!N134</f>
        <v>#VALUE!</v>
      </c>
      <c r="K134" s="16" t="str">
        <f>IF(C134="BC",J134*'Mix Design'!$B$4,IF(C134="DBM",J134*'Mix Design'!$C$4,""))</f>
        <v/>
      </c>
      <c r="L134" s="16" t="str">
        <f>IF(C134="BC",J134*'Mix Design'!$B$5,IF(C134="DBM",J134*'Mix Design'!$C$5,""))</f>
        <v/>
      </c>
      <c r="M134" s="16" t="str">
        <f>IF(C134="BC",J134*'Mix Design'!$B$6,IF(C134="DBM",J134*'Mix Design'!$C$6,""))</f>
        <v/>
      </c>
      <c r="N134" s="16" t="str">
        <f>IF(C134="BC",J134*'Mix Design'!$B$7,IF(C134="DBM",J134*'Mix Design'!$C$7,""))</f>
        <v/>
      </c>
      <c r="O134" s="16" t="str">
        <f>IF(C134="BC",J134*'Mix Design'!$B$8,IF(C134="DBM",J134*'Mix Design'!$C$8,""))</f>
        <v/>
      </c>
      <c r="P134" s="16" t="str">
        <f>IF(C134="BC",J134*'Mix Design'!$B$9,IF(C134="DBM",J134*'Mix Design'!$C$9,""))</f>
        <v/>
      </c>
      <c r="Q134" s="16" t="e">
        <f>'Job Planner'!P134</f>
        <v>#VALUE!</v>
      </c>
      <c r="R134" s="16" t="e">
        <f>'Job Planner'!Q134</f>
        <v>#VALUE!</v>
      </c>
      <c r="S134" s="16" t="e">
        <f>'Job Planner'!S134</f>
        <v>#VALUE!</v>
      </c>
      <c r="T134" s="16" t="e">
        <f>'Job Planner'!Z134</f>
        <v>#VALUE!</v>
      </c>
      <c r="U134" s="16" t="e">
        <f>'Job Planner'!AB134</f>
        <v>#VALUE!</v>
      </c>
      <c r="V134" s="16">
        <f>'Job Planner'!AE134</f>
        <v>0</v>
      </c>
      <c r="W134" s="16">
        <f>'Job Planner'!AF134</f>
        <v>0</v>
      </c>
      <c r="X134" s="16" t="e">
        <f>'Job Planner'!AG134</f>
        <v>#VALUE!</v>
      </c>
    </row>
    <row r="135" spans="1:24" x14ac:dyDescent="0.2">
      <c r="A135" s="5">
        <f>'Job Planner'!A135</f>
        <v>0</v>
      </c>
      <c r="B135" s="14">
        <f>'Job Planner'!B135</f>
        <v>0</v>
      </c>
      <c r="C135" s="13">
        <f>'Job Planner'!C135</f>
        <v>0</v>
      </c>
      <c r="D135" s="14">
        <f>'Job Planner'!D135</f>
        <v>0</v>
      </c>
      <c r="E135" s="13" t="str">
        <f>IF('Job Planner'!D135="GEOMETRY",'Job Planner'!E135,'Job Planner'!K135)</f>
        <v/>
      </c>
      <c r="F135" s="16">
        <f>'Job Planner'!F135</f>
        <v>0</v>
      </c>
      <c r="G135" s="16">
        <f>'Job Planner'!G135</f>
        <v>0</v>
      </c>
      <c r="H135" s="16" t="str">
        <f>'Job Planner'!I135</f>
        <v/>
      </c>
      <c r="I135" s="16" t="str">
        <f>'Job Planner'!J135</f>
        <v/>
      </c>
      <c r="J135" s="16" t="e">
        <f>'Job Planner'!N135</f>
        <v>#VALUE!</v>
      </c>
      <c r="K135" s="16" t="str">
        <f>IF(C135="BC",J135*'Mix Design'!$B$4,IF(C135="DBM",J135*'Mix Design'!$C$4,""))</f>
        <v/>
      </c>
      <c r="L135" s="16" t="str">
        <f>IF(C135="BC",J135*'Mix Design'!$B$5,IF(C135="DBM",J135*'Mix Design'!$C$5,""))</f>
        <v/>
      </c>
      <c r="M135" s="16" t="str">
        <f>IF(C135="BC",J135*'Mix Design'!$B$6,IF(C135="DBM",J135*'Mix Design'!$C$6,""))</f>
        <v/>
      </c>
      <c r="N135" s="16" t="str">
        <f>IF(C135="BC",J135*'Mix Design'!$B$7,IF(C135="DBM",J135*'Mix Design'!$C$7,""))</f>
        <v/>
      </c>
      <c r="O135" s="16" t="str">
        <f>IF(C135="BC",J135*'Mix Design'!$B$8,IF(C135="DBM",J135*'Mix Design'!$C$8,""))</f>
        <v/>
      </c>
      <c r="P135" s="16" t="str">
        <f>IF(C135="BC",J135*'Mix Design'!$B$9,IF(C135="DBM",J135*'Mix Design'!$C$9,""))</f>
        <v/>
      </c>
      <c r="Q135" s="16" t="e">
        <f>'Job Planner'!P135</f>
        <v>#VALUE!</v>
      </c>
      <c r="R135" s="16" t="e">
        <f>'Job Planner'!Q135</f>
        <v>#VALUE!</v>
      </c>
      <c r="S135" s="16" t="e">
        <f>'Job Planner'!S135</f>
        <v>#VALUE!</v>
      </c>
      <c r="T135" s="16" t="e">
        <f>'Job Planner'!Z135</f>
        <v>#VALUE!</v>
      </c>
      <c r="U135" s="16" t="e">
        <f>'Job Planner'!AB135</f>
        <v>#VALUE!</v>
      </c>
      <c r="V135" s="16">
        <f>'Job Planner'!AE135</f>
        <v>0</v>
      </c>
      <c r="W135" s="16">
        <f>'Job Planner'!AF135</f>
        <v>0</v>
      </c>
      <c r="X135" s="16" t="e">
        <f>'Job Planner'!AG135</f>
        <v>#VALUE!</v>
      </c>
    </row>
    <row r="136" spans="1:24" x14ac:dyDescent="0.2">
      <c r="A136" s="5">
        <f>'Job Planner'!A136</f>
        <v>0</v>
      </c>
      <c r="B136" s="14">
        <f>'Job Planner'!B136</f>
        <v>0</v>
      </c>
      <c r="C136" s="13">
        <f>'Job Planner'!C136</f>
        <v>0</v>
      </c>
      <c r="D136" s="14">
        <f>'Job Planner'!D136</f>
        <v>0</v>
      </c>
      <c r="E136" s="13" t="str">
        <f>IF('Job Planner'!D136="GEOMETRY",'Job Planner'!E136,'Job Planner'!K136)</f>
        <v/>
      </c>
      <c r="F136" s="16">
        <f>'Job Planner'!F136</f>
        <v>0</v>
      </c>
      <c r="G136" s="16">
        <f>'Job Planner'!G136</f>
        <v>0</v>
      </c>
      <c r="H136" s="16" t="str">
        <f>'Job Planner'!I136</f>
        <v/>
      </c>
      <c r="I136" s="16" t="str">
        <f>'Job Planner'!J136</f>
        <v/>
      </c>
      <c r="J136" s="16" t="e">
        <f>'Job Planner'!N136</f>
        <v>#VALUE!</v>
      </c>
      <c r="K136" s="16" t="str">
        <f>IF(C136="BC",J136*'Mix Design'!$B$4,IF(C136="DBM",J136*'Mix Design'!$C$4,""))</f>
        <v/>
      </c>
      <c r="L136" s="16" t="str">
        <f>IF(C136="BC",J136*'Mix Design'!$B$5,IF(C136="DBM",J136*'Mix Design'!$C$5,""))</f>
        <v/>
      </c>
      <c r="M136" s="16" t="str">
        <f>IF(C136="BC",J136*'Mix Design'!$B$6,IF(C136="DBM",J136*'Mix Design'!$C$6,""))</f>
        <v/>
      </c>
      <c r="N136" s="16" t="str">
        <f>IF(C136="BC",J136*'Mix Design'!$B$7,IF(C136="DBM",J136*'Mix Design'!$C$7,""))</f>
        <v/>
      </c>
      <c r="O136" s="16" t="str">
        <f>IF(C136="BC",J136*'Mix Design'!$B$8,IF(C136="DBM",J136*'Mix Design'!$C$8,""))</f>
        <v/>
      </c>
      <c r="P136" s="16" t="str">
        <f>IF(C136="BC",J136*'Mix Design'!$B$9,IF(C136="DBM",J136*'Mix Design'!$C$9,""))</f>
        <v/>
      </c>
      <c r="Q136" s="16" t="e">
        <f>'Job Planner'!P136</f>
        <v>#VALUE!</v>
      </c>
      <c r="R136" s="16" t="e">
        <f>'Job Planner'!Q136</f>
        <v>#VALUE!</v>
      </c>
      <c r="S136" s="16" t="e">
        <f>'Job Planner'!S136</f>
        <v>#VALUE!</v>
      </c>
      <c r="T136" s="16" t="e">
        <f>'Job Planner'!Z136</f>
        <v>#VALUE!</v>
      </c>
      <c r="U136" s="16" t="e">
        <f>'Job Planner'!AB136</f>
        <v>#VALUE!</v>
      </c>
      <c r="V136" s="16">
        <f>'Job Planner'!AE136</f>
        <v>0</v>
      </c>
      <c r="W136" s="16">
        <f>'Job Planner'!AF136</f>
        <v>0</v>
      </c>
      <c r="X136" s="16" t="e">
        <f>'Job Planner'!AG136</f>
        <v>#VALUE!</v>
      </c>
    </row>
    <row r="137" spans="1:24" x14ac:dyDescent="0.2">
      <c r="A137" s="5">
        <f>'Job Planner'!A137</f>
        <v>0</v>
      </c>
      <c r="B137" s="14">
        <f>'Job Planner'!B137</f>
        <v>0</v>
      </c>
      <c r="C137" s="13">
        <f>'Job Planner'!C137</f>
        <v>0</v>
      </c>
      <c r="D137" s="14">
        <f>'Job Planner'!D137</f>
        <v>0</v>
      </c>
      <c r="E137" s="13" t="str">
        <f>IF('Job Planner'!D137="GEOMETRY",'Job Planner'!E137,'Job Planner'!K137)</f>
        <v/>
      </c>
      <c r="F137" s="16">
        <f>'Job Planner'!F137</f>
        <v>0</v>
      </c>
      <c r="G137" s="16">
        <f>'Job Planner'!G137</f>
        <v>0</v>
      </c>
      <c r="H137" s="16" t="str">
        <f>'Job Planner'!I137</f>
        <v/>
      </c>
      <c r="I137" s="16" t="str">
        <f>'Job Planner'!J137</f>
        <v/>
      </c>
      <c r="J137" s="16" t="e">
        <f>'Job Planner'!N137</f>
        <v>#VALUE!</v>
      </c>
      <c r="K137" s="16" t="str">
        <f>IF(C137="BC",J137*'Mix Design'!$B$4,IF(C137="DBM",J137*'Mix Design'!$C$4,""))</f>
        <v/>
      </c>
      <c r="L137" s="16" t="str">
        <f>IF(C137="BC",J137*'Mix Design'!$B$5,IF(C137="DBM",J137*'Mix Design'!$C$5,""))</f>
        <v/>
      </c>
      <c r="M137" s="16" t="str">
        <f>IF(C137="BC",J137*'Mix Design'!$B$6,IF(C137="DBM",J137*'Mix Design'!$C$6,""))</f>
        <v/>
      </c>
      <c r="N137" s="16" t="str">
        <f>IF(C137="BC",J137*'Mix Design'!$B$7,IF(C137="DBM",J137*'Mix Design'!$C$7,""))</f>
        <v/>
      </c>
      <c r="O137" s="16" t="str">
        <f>IF(C137="BC",J137*'Mix Design'!$B$8,IF(C137="DBM",J137*'Mix Design'!$C$8,""))</f>
        <v/>
      </c>
      <c r="P137" s="16" t="str">
        <f>IF(C137="BC",J137*'Mix Design'!$B$9,IF(C137="DBM",J137*'Mix Design'!$C$9,""))</f>
        <v/>
      </c>
      <c r="Q137" s="16" t="e">
        <f>'Job Planner'!P137</f>
        <v>#VALUE!</v>
      </c>
      <c r="R137" s="16" t="e">
        <f>'Job Planner'!Q137</f>
        <v>#VALUE!</v>
      </c>
      <c r="S137" s="16" t="e">
        <f>'Job Planner'!S137</f>
        <v>#VALUE!</v>
      </c>
      <c r="T137" s="16" t="e">
        <f>'Job Planner'!Z137</f>
        <v>#VALUE!</v>
      </c>
      <c r="U137" s="16" t="e">
        <f>'Job Planner'!AB137</f>
        <v>#VALUE!</v>
      </c>
      <c r="V137" s="16">
        <f>'Job Planner'!AE137</f>
        <v>0</v>
      </c>
      <c r="W137" s="16">
        <f>'Job Planner'!AF137</f>
        <v>0</v>
      </c>
      <c r="X137" s="16" t="e">
        <f>'Job Planner'!AG137</f>
        <v>#VALUE!</v>
      </c>
    </row>
    <row r="138" spans="1:24" x14ac:dyDescent="0.2">
      <c r="A138" s="5">
        <f>'Job Planner'!A138</f>
        <v>0</v>
      </c>
      <c r="B138" s="14">
        <f>'Job Planner'!B138</f>
        <v>0</v>
      </c>
      <c r="C138" s="13">
        <f>'Job Planner'!C138</f>
        <v>0</v>
      </c>
      <c r="D138" s="14">
        <f>'Job Planner'!D138</f>
        <v>0</v>
      </c>
      <c r="E138" s="13" t="str">
        <f>IF('Job Planner'!D138="GEOMETRY",'Job Planner'!E138,'Job Planner'!K138)</f>
        <v/>
      </c>
      <c r="F138" s="16">
        <f>'Job Planner'!F138</f>
        <v>0</v>
      </c>
      <c r="G138" s="16">
        <f>'Job Planner'!G138</f>
        <v>0</v>
      </c>
      <c r="H138" s="16" t="str">
        <f>'Job Planner'!I138</f>
        <v/>
      </c>
      <c r="I138" s="16" t="str">
        <f>'Job Planner'!J138</f>
        <v/>
      </c>
      <c r="J138" s="16" t="e">
        <f>'Job Planner'!N138</f>
        <v>#VALUE!</v>
      </c>
      <c r="K138" s="16" t="str">
        <f>IF(C138="BC",J138*'Mix Design'!$B$4,IF(C138="DBM",J138*'Mix Design'!$C$4,""))</f>
        <v/>
      </c>
      <c r="L138" s="16" t="str">
        <f>IF(C138="BC",J138*'Mix Design'!$B$5,IF(C138="DBM",J138*'Mix Design'!$C$5,""))</f>
        <v/>
      </c>
      <c r="M138" s="16" t="str">
        <f>IF(C138="BC",J138*'Mix Design'!$B$6,IF(C138="DBM",J138*'Mix Design'!$C$6,""))</f>
        <v/>
      </c>
      <c r="N138" s="16" t="str">
        <f>IF(C138="BC",J138*'Mix Design'!$B$7,IF(C138="DBM",J138*'Mix Design'!$C$7,""))</f>
        <v/>
      </c>
      <c r="O138" s="16" t="str">
        <f>IF(C138="BC",J138*'Mix Design'!$B$8,IF(C138="DBM",J138*'Mix Design'!$C$8,""))</f>
        <v/>
      </c>
      <c r="P138" s="16" t="str">
        <f>IF(C138="BC",J138*'Mix Design'!$B$9,IF(C138="DBM",J138*'Mix Design'!$C$9,""))</f>
        <v/>
      </c>
      <c r="Q138" s="16" t="e">
        <f>'Job Planner'!P138</f>
        <v>#VALUE!</v>
      </c>
      <c r="R138" s="16" t="e">
        <f>'Job Planner'!Q138</f>
        <v>#VALUE!</v>
      </c>
      <c r="S138" s="16" t="e">
        <f>'Job Planner'!S138</f>
        <v>#VALUE!</v>
      </c>
      <c r="T138" s="16" t="e">
        <f>'Job Planner'!Z138</f>
        <v>#VALUE!</v>
      </c>
      <c r="U138" s="16" t="e">
        <f>'Job Planner'!AB138</f>
        <v>#VALUE!</v>
      </c>
      <c r="V138" s="16">
        <f>'Job Planner'!AE138</f>
        <v>0</v>
      </c>
      <c r="W138" s="16">
        <f>'Job Planner'!AF138</f>
        <v>0</v>
      </c>
      <c r="X138" s="16" t="e">
        <f>'Job Planner'!AG138</f>
        <v>#VALUE!</v>
      </c>
    </row>
    <row r="139" spans="1:24" x14ac:dyDescent="0.2">
      <c r="A139" s="5">
        <f>'Job Planner'!A139</f>
        <v>0</v>
      </c>
      <c r="B139" s="14">
        <f>'Job Planner'!B139</f>
        <v>0</v>
      </c>
      <c r="C139" s="13">
        <f>'Job Planner'!C139</f>
        <v>0</v>
      </c>
      <c r="D139" s="14">
        <f>'Job Planner'!D139</f>
        <v>0</v>
      </c>
      <c r="E139" s="13" t="str">
        <f>IF('Job Planner'!D139="GEOMETRY",'Job Planner'!E139,'Job Planner'!K139)</f>
        <v/>
      </c>
      <c r="F139" s="16">
        <f>'Job Planner'!F139</f>
        <v>0</v>
      </c>
      <c r="G139" s="16">
        <f>'Job Planner'!G139</f>
        <v>0</v>
      </c>
      <c r="H139" s="16" t="str">
        <f>'Job Planner'!I139</f>
        <v/>
      </c>
      <c r="I139" s="16" t="str">
        <f>'Job Planner'!J139</f>
        <v/>
      </c>
      <c r="J139" s="16" t="e">
        <f>'Job Planner'!N139</f>
        <v>#VALUE!</v>
      </c>
      <c r="K139" s="16" t="str">
        <f>IF(C139="BC",J139*'Mix Design'!$B$4,IF(C139="DBM",J139*'Mix Design'!$C$4,""))</f>
        <v/>
      </c>
      <c r="L139" s="16" t="str">
        <f>IF(C139="BC",J139*'Mix Design'!$B$5,IF(C139="DBM",J139*'Mix Design'!$C$5,""))</f>
        <v/>
      </c>
      <c r="M139" s="16" t="str">
        <f>IF(C139="BC",J139*'Mix Design'!$B$6,IF(C139="DBM",J139*'Mix Design'!$C$6,""))</f>
        <v/>
      </c>
      <c r="N139" s="16" t="str">
        <f>IF(C139="BC",J139*'Mix Design'!$B$7,IF(C139="DBM",J139*'Mix Design'!$C$7,""))</f>
        <v/>
      </c>
      <c r="O139" s="16" t="str">
        <f>IF(C139="BC",J139*'Mix Design'!$B$8,IF(C139="DBM",J139*'Mix Design'!$C$8,""))</f>
        <v/>
      </c>
      <c r="P139" s="16" t="str">
        <f>IF(C139="BC",J139*'Mix Design'!$B$9,IF(C139="DBM",J139*'Mix Design'!$C$9,""))</f>
        <v/>
      </c>
      <c r="Q139" s="16" t="e">
        <f>'Job Planner'!P139</f>
        <v>#VALUE!</v>
      </c>
      <c r="R139" s="16" t="e">
        <f>'Job Planner'!Q139</f>
        <v>#VALUE!</v>
      </c>
      <c r="S139" s="16" t="e">
        <f>'Job Planner'!S139</f>
        <v>#VALUE!</v>
      </c>
      <c r="T139" s="16" t="e">
        <f>'Job Planner'!Z139</f>
        <v>#VALUE!</v>
      </c>
      <c r="U139" s="16" t="e">
        <f>'Job Planner'!AB139</f>
        <v>#VALUE!</v>
      </c>
      <c r="V139" s="16">
        <f>'Job Planner'!AE139</f>
        <v>0</v>
      </c>
      <c r="W139" s="16">
        <f>'Job Planner'!AF139</f>
        <v>0</v>
      </c>
      <c r="X139" s="16" t="e">
        <f>'Job Planner'!AG139</f>
        <v>#VALUE!</v>
      </c>
    </row>
    <row r="140" spans="1:24" x14ac:dyDescent="0.2">
      <c r="A140" s="5">
        <f>'Job Planner'!A140</f>
        <v>0</v>
      </c>
      <c r="B140" s="14">
        <f>'Job Planner'!B140</f>
        <v>0</v>
      </c>
      <c r="C140" s="13">
        <f>'Job Planner'!C140</f>
        <v>0</v>
      </c>
      <c r="D140" s="14">
        <f>'Job Planner'!D140</f>
        <v>0</v>
      </c>
      <c r="E140" s="13" t="str">
        <f>IF('Job Planner'!D140="GEOMETRY",'Job Planner'!E140,'Job Planner'!K140)</f>
        <v/>
      </c>
      <c r="F140" s="16">
        <f>'Job Planner'!F140</f>
        <v>0</v>
      </c>
      <c r="G140" s="16">
        <f>'Job Planner'!G140</f>
        <v>0</v>
      </c>
      <c r="H140" s="16" t="str">
        <f>'Job Planner'!I140</f>
        <v/>
      </c>
      <c r="I140" s="16" t="str">
        <f>'Job Planner'!J140</f>
        <v/>
      </c>
      <c r="J140" s="16" t="e">
        <f>'Job Planner'!N140</f>
        <v>#VALUE!</v>
      </c>
      <c r="K140" s="16" t="str">
        <f>IF(C140="BC",J140*'Mix Design'!$B$4,IF(C140="DBM",J140*'Mix Design'!$C$4,""))</f>
        <v/>
      </c>
      <c r="L140" s="16" t="str">
        <f>IF(C140="BC",J140*'Mix Design'!$B$5,IF(C140="DBM",J140*'Mix Design'!$C$5,""))</f>
        <v/>
      </c>
      <c r="M140" s="16" t="str">
        <f>IF(C140="BC",J140*'Mix Design'!$B$6,IF(C140="DBM",J140*'Mix Design'!$C$6,""))</f>
        <v/>
      </c>
      <c r="N140" s="16" t="str">
        <f>IF(C140="BC",J140*'Mix Design'!$B$7,IF(C140="DBM",J140*'Mix Design'!$C$7,""))</f>
        <v/>
      </c>
      <c r="O140" s="16" t="str">
        <f>IF(C140="BC",J140*'Mix Design'!$B$8,IF(C140="DBM",J140*'Mix Design'!$C$8,""))</f>
        <v/>
      </c>
      <c r="P140" s="16" t="str">
        <f>IF(C140="BC",J140*'Mix Design'!$B$9,IF(C140="DBM",J140*'Mix Design'!$C$9,""))</f>
        <v/>
      </c>
      <c r="Q140" s="16" t="e">
        <f>'Job Planner'!P140</f>
        <v>#VALUE!</v>
      </c>
      <c r="R140" s="16" t="e">
        <f>'Job Planner'!Q140</f>
        <v>#VALUE!</v>
      </c>
      <c r="S140" s="16" t="e">
        <f>'Job Planner'!S140</f>
        <v>#VALUE!</v>
      </c>
      <c r="T140" s="16" t="e">
        <f>'Job Planner'!Z140</f>
        <v>#VALUE!</v>
      </c>
      <c r="U140" s="16" t="e">
        <f>'Job Planner'!AB140</f>
        <v>#VALUE!</v>
      </c>
      <c r="V140" s="16">
        <f>'Job Planner'!AE140</f>
        <v>0</v>
      </c>
      <c r="W140" s="16">
        <f>'Job Planner'!AF140</f>
        <v>0</v>
      </c>
      <c r="X140" s="16" t="e">
        <f>'Job Planner'!AG140</f>
        <v>#VALUE!</v>
      </c>
    </row>
    <row r="141" spans="1:24" x14ac:dyDescent="0.2">
      <c r="A141" s="5">
        <f>'Job Planner'!A141</f>
        <v>0</v>
      </c>
      <c r="B141" s="14">
        <f>'Job Planner'!B141</f>
        <v>0</v>
      </c>
      <c r="C141" s="13">
        <f>'Job Planner'!C141</f>
        <v>0</v>
      </c>
      <c r="D141" s="14">
        <f>'Job Planner'!D141</f>
        <v>0</v>
      </c>
      <c r="E141" s="13" t="str">
        <f>IF('Job Planner'!D141="GEOMETRY",'Job Planner'!E141,'Job Planner'!K141)</f>
        <v/>
      </c>
      <c r="F141" s="16">
        <f>'Job Planner'!F141</f>
        <v>0</v>
      </c>
      <c r="G141" s="16">
        <f>'Job Planner'!G141</f>
        <v>0</v>
      </c>
      <c r="H141" s="16" t="str">
        <f>'Job Planner'!I141</f>
        <v/>
      </c>
      <c r="I141" s="16" t="str">
        <f>'Job Planner'!J141</f>
        <v/>
      </c>
      <c r="J141" s="16" t="e">
        <f>'Job Planner'!N141</f>
        <v>#VALUE!</v>
      </c>
      <c r="K141" s="16" t="str">
        <f>IF(C141="BC",J141*'Mix Design'!$B$4,IF(C141="DBM",J141*'Mix Design'!$C$4,""))</f>
        <v/>
      </c>
      <c r="L141" s="16" t="str">
        <f>IF(C141="BC",J141*'Mix Design'!$B$5,IF(C141="DBM",J141*'Mix Design'!$C$5,""))</f>
        <v/>
      </c>
      <c r="M141" s="16" t="str">
        <f>IF(C141="BC",J141*'Mix Design'!$B$6,IF(C141="DBM",J141*'Mix Design'!$C$6,""))</f>
        <v/>
      </c>
      <c r="N141" s="16" t="str">
        <f>IF(C141="BC",J141*'Mix Design'!$B$7,IF(C141="DBM",J141*'Mix Design'!$C$7,""))</f>
        <v/>
      </c>
      <c r="O141" s="16" t="str">
        <f>IF(C141="BC",J141*'Mix Design'!$B$8,IF(C141="DBM",J141*'Mix Design'!$C$8,""))</f>
        <v/>
      </c>
      <c r="P141" s="16" t="str">
        <f>IF(C141="BC",J141*'Mix Design'!$B$9,IF(C141="DBM",J141*'Mix Design'!$C$9,""))</f>
        <v/>
      </c>
      <c r="Q141" s="16" t="e">
        <f>'Job Planner'!P141</f>
        <v>#VALUE!</v>
      </c>
      <c r="R141" s="16" t="e">
        <f>'Job Planner'!Q141</f>
        <v>#VALUE!</v>
      </c>
      <c r="S141" s="16" t="e">
        <f>'Job Planner'!S141</f>
        <v>#VALUE!</v>
      </c>
      <c r="T141" s="16" t="e">
        <f>'Job Planner'!Z141</f>
        <v>#VALUE!</v>
      </c>
      <c r="U141" s="16" t="e">
        <f>'Job Planner'!AB141</f>
        <v>#VALUE!</v>
      </c>
      <c r="V141" s="16">
        <f>'Job Planner'!AE141</f>
        <v>0</v>
      </c>
      <c r="W141" s="16">
        <f>'Job Planner'!AF141</f>
        <v>0</v>
      </c>
      <c r="X141" s="16" t="e">
        <f>'Job Planner'!AG141</f>
        <v>#VALUE!</v>
      </c>
    </row>
    <row r="142" spans="1:24" x14ac:dyDescent="0.2">
      <c r="A142" s="5">
        <f>'Job Planner'!A142</f>
        <v>0</v>
      </c>
      <c r="B142" s="14">
        <f>'Job Planner'!B142</f>
        <v>0</v>
      </c>
      <c r="C142" s="13">
        <f>'Job Planner'!C142</f>
        <v>0</v>
      </c>
      <c r="D142" s="14">
        <f>'Job Planner'!D142</f>
        <v>0</v>
      </c>
      <c r="E142" s="13" t="str">
        <f>IF('Job Planner'!D142="GEOMETRY",'Job Planner'!E142,'Job Planner'!K142)</f>
        <v/>
      </c>
      <c r="F142" s="16">
        <f>'Job Planner'!F142</f>
        <v>0</v>
      </c>
      <c r="G142" s="16">
        <f>'Job Planner'!G142</f>
        <v>0</v>
      </c>
      <c r="H142" s="16" t="str">
        <f>'Job Planner'!I142</f>
        <v/>
      </c>
      <c r="I142" s="16" t="str">
        <f>'Job Planner'!J142</f>
        <v/>
      </c>
      <c r="J142" s="16" t="e">
        <f>'Job Planner'!N142</f>
        <v>#VALUE!</v>
      </c>
      <c r="K142" s="16" t="str">
        <f>IF(C142="BC",J142*'Mix Design'!$B$4,IF(C142="DBM",J142*'Mix Design'!$C$4,""))</f>
        <v/>
      </c>
      <c r="L142" s="16" t="str">
        <f>IF(C142="BC",J142*'Mix Design'!$B$5,IF(C142="DBM",J142*'Mix Design'!$C$5,""))</f>
        <v/>
      </c>
      <c r="M142" s="16" t="str">
        <f>IF(C142="BC",J142*'Mix Design'!$B$6,IF(C142="DBM",J142*'Mix Design'!$C$6,""))</f>
        <v/>
      </c>
      <c r="N142" s="16" t="str">
        <f>IF(C142="BC",J142*'Mix Design'!$B$7,IF(C142="DBM",J142*'Mix Design'!$C$7,""))</f>
        <v/>
      </c>
      <c r="O142" s="16" t="str">
        <f>IF(C142="BC",J142*'Mix Design'!$B$8,IF(C142="DBM",J142*'Mix Design'!$C$8,""))</f>
        <v/>
      </c>
      <c r="P142" s="16" t="str">
        <f>IF(C142="BC",J142*'Mix Design'!$B$9,IF(C142="DBM",J142*'Mix Design'!$C$9,""))</f>
        <v/>
      </c>
      <c r="Q142" s="16" t="e">
        <f>'Job Planner'!P142</f>
        <v>#VALUE!</v>
      </c>
      <c r="R142" s="16" t="e">
        <f>'Job Planner'!Q142</f>
        <v>#VALUE!</v>
      </c>
      <c r="S142" s="16" t="e">
        <f>'Job Planner'!S142</f>
        <v>#VALUE!</v>
      </c>
      <c r="T142" s="16" t="e">
        <f>'Job Planner'!Z142</f>
        <v>#VALUE!</v>
      </c>
      <c r="U142" s="16" t="e">
        <f>'Job Planner'!AB142</f>
        <v>#VALUE!</v>
      </c>
      <c r="V142" s="16">
        <f>'Job Planner'!AE142</f>
        <v>0</v>
      </c>
      <c r="W142" s="16">
        <f>'Job Planner'!AF142</f>
        <v>0</v>
      </c>
      <c r="X142" s="16" t="e">
        <f>'Job Planner'!AG142</f>
        <v>#VALUE!</v>
      </c>
    </row>
    <row r="143" spans="1:24" x14ac:dyDescent="0.2">
      <c r="A143" s="5">
        <f>'Job Planner'!A143</f>
        <v>0</v>
      </c>
      <c r="B143" s="14">
        <f>'Job Planner'!B143</f>
        <v>0</v>
      </c>
      <c r="C143" s="13">
        <f>'Job Planner'!C143</f>
        <v>0</v>
      </c>
      <c r="D143" s="14">
        <f>'Job Planner'!D143</f>
        <v>0</v>
      </c>
      <c r="E143" s="13" t="str">
        <f>IF('Job Planner'!D143="GEOMETRY",'Job Planner'!E143,'Job Planner'!K143)</f>
        <v/>
      </c>
      <c r="F143" s="16">
        <f>'Job Planner'!F143</f>
        <v>0</v>
      </c>
      <c r="G143" s="16">
        <f>'Job Planner'!G143</f>
        <v>0</v>
      </c>
      <c r="H143" s="16" t="str">
        <f>'Job Planner'!I143</f>
        <v/>
      </c>
      <c r="I143" s="16" t="str">
        <f>'Job Planner'!J143</f>
        <v/>
      </c>
      <c r="J143" s="16" t="e">
        <f>'Job Planner'!N143</f>
        <v>#VALUE!</v>
      </c>
      <c r="K143" s="16" t="str">
        <f>IF(C143="BC",J143*'Mix Design'!$B$4,IF(C143="DBM",J143*'Mix Design'!$C$4,""))</f>
        <v/>
      </c>
      <c r="L143" s="16" t="str">
        <f>IF(C143="BC",J143*'Mix Design'!$B$5,IF(C143="DBM",J143*'Mix Design'!$C$5,""))</f>
        <v/>
      </c>
      <c r="M143" s="16" t="str">
        <f>IF(C143="BC",J143*'Mix Design'!$B$6,IF(C143="DBM",J143*'Mix Design'!$C$6,""))</f>
        <v/>
      </c>
      <c r="N143" s="16" t="str">
        <f>IF(C143="BC",J143*'Mix Design'!$B$7,IF(C143="DBM",J143*'Mix Design'!$C$7,""))</f>
        <v/>
      </c>
      <c r="O143" s="16" t="str">
        <f>IF(C143="BC",J143*'Mix Design'!$B$8,IF(C143="DBM",J143*'Mix Design'!$C$8,""))</f>
        <v/>
      </c>
      <c r="P143" s="16" t="str">
        <f>IF(C143="BC",J143*'Mix Design'!$B$9,IF(C143="DBM",J143*'Mix Design'!$C$9,""))</f>
        <v/>
      </c>
      <c r="Q143" s="16" t="e">
        <f>'Job Planner'!P143</f>
        <v>#VALUE!</v>
      </c>
      <c r="R143" s="16" t="e">
        <f>'Job Planner'!Q143</f>
        <v>#VALUE!</v>
      </c>
      <c r="S143" s="16" t="e">
        <f>'Job Planner'!S143</f>
        <v>#VALUE!</v>
      </c>
      <c r="T143" s="16" t="e">
        <f>'Job Planner'!Z143</f>
        <v>#VALUE!</v>
      </c>
      <c r="U143" s="16" t="e">
        <f>'Job Planner'!AB143</f>
        <v>#VALUE!</v>
      </c>
      <c r="V143" s="16">
        <f>'Job Planner'!AE143</f>
        <v>0</v>
      </c>
      <c r="W143" s="16">
        <f>'Job Planner'!AF143</f>
        <v>0</v>
      </c>
      <c r="X143" s="16" t="e">
        <f>'Job Planner'!AG143</f>
        <v>#VALUE!</v>
      </c>
    </row>
    <row r="144" spans="1:24" x14ac:dyDescent="0.2">
      <c r="A144" s="5">
        <f>'Job Planner'!A144</f>
        <v>0</v>
      </c>
      <c r="B144" s="14">
        <f>'Job Planner'!B144</f>
        <v>0</v>
      </c>
      <c r="C144" s="13">
        <f>'Job Planner'!C144</f>
        <v>0</v>
      </c>
      <c r="D144" s="14">
        <f>'Job Planner'!D144</f>
        <v>0</v>
      </c>
      <c r="E144" s="13" t="str">
        <f>IF('Job Planner'!D144="GEOMETRY",'Job Planner'!E144,'Job Planner'!K144)</f>
        <v/>
      </c>
      <c r="F144" s="16">
        <f>'Job Planner'!F144</f>
        <v>0</v>
      </c>
      <c r="G144" s="16">
        <f>'Job Planner'!G144</f>
        <v>0</v>
      </c>
      <c r="H144" s="16" t="str">
        <f>'Job Planner'!I144</f>
        <v/>
      </c>
      <c r="I144" s="16" t="str">
        <f>'Job Planner'!J144</f>
        <v/>
      </c>
      <c r="J144" s="16" t="e">
        <f>'Job Planner'!N144</f>
        <v>#VALUE!</v>
      </c>
      <c r="K144" s="16" t="str">
        <f>IF(C144="BC",J144*'Mix Design'!$B$4,IF(C144="DBM",J144*'Mix Design'!$C$4,""))</f>
        <v/>
      </c>
      <c r="L144" s="16" t="str">
        <f>IF(C144="BC",J144*'Mix Design'!$B$5,IF(C144="DBM",J144*'Mix Design'!$C$5,""))</f>
        <v/>
      </c>
      <c r="M144" s="16" t="str">
        <f>IF(C144="BC",J144*'Mix Design'!$B$6,IF(C144="DBM",J144*'Mix Design'!$C$6,""))</f>
        <v/>
      </c>
      <c r="N144" s="16" t="str">
        <f>IF(C144="BC",J144*'Mix Design'!$B$7,IF(C144="DBM",J144*'Mix Design'!$C$7,""))</f>
        <v/>
      </c>
      <c r="O144" s="16" t="str">
        <f>IF(C144="BC",J144*'Mix Design'!$B$8,IF(C144="DBM",J144*'Mix Design'!$C$8,""))</f>
        <v/>
      </c>
      <c r="P144" s="16" t="str">
        <f>IF(C144="BC",J144*'Mix Design'!$B$9,IF(C144="DBM",J144*'Mix Design'!$C$9,""))</f>
        <v/>
      </c>
      <c r="Q144" s="16" t="e">
        <f>'Job Planner'!P144</f>
        <v>#VALUE!</v>
      </c>
      <c r="R144" s="16" t="e">
        <f>'Job Planner'!Q144</f>
        <v>#VALUE!</v>
      </c>
      <c r="S144" s="16" t="e">
        <f>'Job Planner'!S144</f>
        <v>#VALUE!</v>
      </c>
      <c r="T144" s="16" t="e">
        <f>'Job Planner'!Z144</f>
        <v>#VALUE!</v>
      </c>
      <c r="U144" s="16" t="e">
        <f>'Job Planner'!AB144</f>
        <v>#VALUE!</v>
      </c>
      <c r="V144" s="16">
        <f>'Job Planner'!AE144</f>
        <v>0</v>
      </c>
      <c r="W144" s="16">
        <f>'Job Planner'!AF144</f>
        <v>0</v>
      </c>
      <c r="X144" s="16" t="e">
        <f>'Job Planner'!AG144</f>
        <v>#VALUE!</v>
      </c>
    </row>
    <row r="145" spans="1:24" x14ac:dyDescent="0.2">
      <c r="A145" s="5">
        <f>'Job Planner'!A145</f>
        <v>0</v>
      </c>
      <c r="B145" s="14">
        <f>'Job Planner'!B145</f>
        <v>0</v>
      </c>
      <c r="C145" s="13">
        <f>'Job Planner'!C145</f>
        <v>0</v>
      </c>
      <c r="D145" s="14">
        <f>'Job Planner'!D145</f>
        <v>0</v>
      </c>
      <c r="E145" s="13" t="str">
        <f>IF('Job Planner'!D145="GEOMETRY",'Job Planner'!E145,'Job Planner'!K145)</f>
        <v/>
      </c>
      <c r="F145" s="16">
        <f>'Job Planner'!F145</f>
        <v>0</v>
      </c>
      <c r="G145" s="16">
        <f>'Job Planner'!G145</f>
        <v>0</v>
      </c>
      <c r="H145" s="16" t="str">
        <f>'Job Planner'!I145</f>
        <v/>
      </c>
      <c r="I145" s="16" t="str">
        <f>'Job Planner'!J145</f>
        <v/>
      </c>
      <c r="J145" s="16" t="e">
        <f>'Job Planner'!N145</f>
        <v>#VALUE!</v>
      </c>
      <c r="K145" s="16" t="str">
        <f>IF(C145="BC",J145*'Mix Design'!$B$4,IF(C145="DBM",J145*'Mix Design'!$C$4,""))</f>
        <v/>
      </c>
      <c r="L145" s="16" t="str">
        <f>IF(C145="BC",J145*'Mix Design'!$B$5,IF(C145="DBM",J145*'Mix Design'!$C$5,""))</f>
        <v/>
      </c>
      <c r="M145" s="16" t="str">
        <f>IF(C145="BC",J145*'Mix Design'!$B$6,IF(C145="DBM",J145*'Mix Design'!$C$6,""))</f>
        <v/>
      </c>
      <c r="N145" s="16" t="str">
        <f>IF(C145="BC",J145*'Mix Design'!$B$7,IF(C145="DBM",J145*'Mix Design'!$C$7,""))</f>
        <v/>
      </c>
      <c r="O145" s="16" t="str">
        <f>IF(C145="BC",J145*'Mix Design'!$B$8,IF(C145="DBM",J145*'Mix Design'!$C$8,""))</f>
        <v/>
      </c>
      <c r="P145" s="16" t="str">
        <f>IF(C145="BC",J145*'Mix Design'!$B$9,IF(C145="DBM",J145*'Mix Design'!$C$9,""))</f>
        <v/>
      </c>
      <c r="Q145" s="16" t="e">
        <f>'Job Planner'!P145</f>
        <v>#VALUE!</v>
      </c>
      <c r="R145" s="16" t="e">
        <f>'Job Planner'!Q145</f>
        <v>#VALUE!</v>
      </c>
      <c r="S145" s="16" t="e">
        <f>'Job Planner'!S145</f>
        <v>#VALUE!</v>
      </c>
      <c r="T145" s="16" t="e">
        <f>'Job Planner'!Z145</f>
        <v>#VALUE!</v>
      </c>
      <c r="U145" s="16" t="e">
        <f>'Job Planner'!AB145</f>
        <v>#VALUE!</v>
      </c>
      <c r="V145" s="16">
        <f>'Job Planner'!AE145</f>
        <v>0</v>
      </c>
      <c r="W145" s="16">
        <f>'Job Planner'!AF145</f>
        <v>0</v>
      </c>
      <c r="X145" s="16" t="e">
        <f>'Job Planner'!AG145</f>
        <v>#VALUE!</v>
      </c>
    </row>
    <row r="146" spans="1:24" x14ac:dyDescent="0.2">
      <c r="A146" s="5">
        <f>'Job Planner'!A146</f>
        <v>0</v>
      </c>
      <c r="B146" s="14">
        <f>'Job Planner'!B146</f>
        <v>0</v>
      </c>
      <c r="C146" s="13">
        <f>'Job Planner'!C146</f>
        <v>0</v>
      </c>
      <c r="D146" s="14">
        <f>'Job Planner'!D146</f>
        <v>0</v>
      </c>
      <c r="E146" s="13" t="str">
        <f>IF('Job Planner'!D146="GEOMETRY",'Job Planner'!E146,'Job Planner'!K146)</f>
        <v/>
      </c>
      <c r="F146" s="16">
        <f>'Job Planner'!F146</f>
        <v>0</v>
      </c>
      <c r="G146" s="16">
        <f>'Job Planner'!G146</f>
        <v>0</v>
      </c>
      <c r="H146" s="16" t="str">
        <f>'Job Planner'!I146</f>
        <v/>
      </c>
      <c r="I146" s="16" t="str">
        <f>'Job Planner'!J146</f>
        <v/>
      </c>
      <c r="J146" s="16" t="e">
        <f>'Job Planner'!N146</f>
        <v>#VALUE!</v>
      </c>
      <c r="K146" s="16" t="str">
        <f>IF(C146="BC",J146*'Mix Design'!$B$4,IF(C146="DBM",J146*'Mix Design'!$C$4,""))</f>
        <v/>
      </c>
      <c r="L146" s="16" t="str">
        <f>IF(C146="BC",J146*'Mix Design'!$B$5,IF(C146="DBM",J146*'Mix Design'!$C$5,""))</f>
        <v/>
      </c>
      <c r="M146" s="16" t="str">
        <f>IF(C146="BC",J146*'Mix Design'!$B$6,IF(C146="DBM",J146*'Mix Design'!$C$6,""))</f>
        <v/>
      </c>
      <c r="N146" s="16" t="str">
        <f>IF(C146="BC",J146*'Mix Design'!$B$7,IF(C146="DBM",J146*'Mix Design'!$C$7,""))</f>
        <v/>
      </c>
      <c r="O146" s="16" t="str">
        <f>IF(C146="BC",J146*'Mix Design'!$B$8,IF(C146="DBM",J146*'Mix Design'!$C$8,""))</f>
        <v/>
      </c>
      <c r="P146" s="16" t="str">
        <f>IF(C146="BC",J146*'Mix Design'!$B$9,IF(C146="DBM",J146*'Mix Design'!$C$9,""))</f>
        <v/>
      </c>
      <c r="Q146" s="16" t="e">
        <f>'Job Planner'!P146</f>
        <v>#VALUE!</v>
      </c>
      <c r="R146" s="16" t="e">
        <f>'Job Planner'!Q146</f>
        <v>#VALUE!</v>
      </c>
      <c r="S146" s="16" t="e">
        <f>'Job Planner'!S146</f>
        <v>#VALUE!</v>
      </c>
      <c r="T146" s="16" t="e">
        <f>'Job Planner'!Z146</f>
        <v>#VALUE!</v>
      </c>
      <c r="U146" s="16" t="e">
        <f>'Job Planner'!AB146</f>
        <v>#VALUE!</v>
      </c>
      <c r="V146" s="16">
        <f>'Job Planner'!AE146</f>
        <v>0</v>
      </c>
      <c r="W146" s="16">
        <f>'Job Planner'!AF146</f>
        <v>0</v>
      </c>
      <c r="X146" s="16" t="e">
        <f>'Job Planner'!AG146</f>
        <v>#VALUE!</v>
      </c>
    </row>
    <row r="147" spans="1:24" x14ac:dyDescent="0.2">
      <c r="A147" s="5">
        <f>'Job Planner'!A147</f>
        <v>0</v>
      </c>
      <c r="B147" s="14">
        <f>'Job Planner'!B147</f>
        <v>0</v>
      </c>
      <c r="C147" s="13">
        <f>'Job Planner'!C147</f>
        <v>0</v>
      </c>
      <c r="D147" s="14">
        <f>'Job Planner'!D147</f>
        <v>0</v>
      </c>
      <c r="E147" s="13" t="str">
        <f>IF('Job Planner'!D147="GEOMETRY",'Job Planner'!E147,'Job Planner'!K147)</f>
        <v/>
      </c>
      <c r="F147" s="16">
        <f>'Job Planner'!F147</f>
        <v>0</v>
      </c>
      <c r="G147" s="16">
        <f>'Job Planner'!G147</f>
        <v>0</v>
      </c>
      <c r="H147" s="16" t="str">
        <f>'Job Planner'!I147</f>
        <v/>
      </c>
      <c r="I147" s="16" t="str">
        <f>'Job Planner'!J147</f>
        <v/>
      </c>
      <c r="J147" s="16" t="e">
        <f>'Job Planner'!N147</f>
        <v>#VALUE!</v>
      </c>
      <c r="K147" s="16" t="str">
        <f>IF(C147="BC",J147*'Mix Design'!$B$4,IF(C147="DBM",J147*'Mix Design'!$C$4,""))</f>
        <v/>
      </c>
      <c r="L147" s="16" t="str">
        <f>IF(C147="BC",J147*'Mix Design'!$B$5,IF(C147="DBM",J147*'Mix Design'!$C$5,""))</f>
        <v/>
      </c>
      <c r="M147" s="16" t="str">
        <f>IF(C147="BC",J147*'Mix Design'!$B$6,IF(C147="DBM",J147*'Mix Design'!$C$6,""))</f>
        <v/>
      </c>
      <c r="N147" s="16" t="str">
        <f>IF(C147="BC",J147*'Mix Design'!$B$7,IF(C147="DBM",J147*'Mix Design'!$C$7,""))</f>
        <v/>
      </c>
      <c r="O147" s="16" t="str">
        <f>IF(C147="BC",J147*'Mix Design'!$B$8,IF(C147="DBM",J147*'Mix Design'!$C$8,""))</f>
        <v/>
      </c>
      <c r="P147" s="16" t="str">
        <f>IF(C147="BC",J147*'Mix Design'!$B$9,IF(C147="DBM",J147*'Mix Design'!$C$9,""))</f>
        <v/>
      </c>
      <c r="Q147" s="16" t="e">
        <f>'Job Planner'!P147</f>
        <v>#VALUE!</v>
      </c>
      <c r="R147" s="16" t="e">
        <f>'Job Planner'!Q147</f>
        <v>#VALUE!</v>
      </c>
      <c r="S147" s="16" t="e">
        <f>'Job Planner'!S147</f>
        <v>#VALUE!</v>
      </c>
      <c r="T147" s="16" t="e">
        <f>'Job Planner'!Z147</f>
        <v>#VALUE!</v>
      </c>
      <c r="U147" s="16" t="e">
        <f>'Job Planner'!AB147</f>
        <v>#VALUE!</v>
      </c>
      <c r="V147" s="16">
        <f>'Job Planner'!AE147</f>
        <v>0</v>
      </c>
      <c r="W147" s="16">
        <f>'Job Planner'!AF147</f>
        <v>0</v>
      </c>
      <c r="X147" s="16" t="e">
        <f>'Job Planner'!AG147</f>
        <v>#VALUE!</v>
      </c>
    </row>
    <row r="148" spans="1:24" x14ac:dyDescent="0.2">
      <c r="A148" s="5">
        <f>'Job Planner'!A148</f>
        <v>0</v>
      </c>
      <c r="B148" s="14">
        <f>'Job Planner'!B148</f>
        <v>0</v>
      </c>
      <c r="C148" s="13">
        <f>'Job Planner'!C148</f>
        <v>0</v>
      </c>
      <c r="D148" s="14">
        <f>'Job Planner'!D148</f>
        <v>0</v>
      </c>
      <c r="E148" s="13" t="str">
        <f>IF('Job Planner'!D148="GEOMETRY",'Job Planner'!E148,'Job Planner'!K148)</f>
        <v/>
      </c>
      <c r="F148" s="16">
        <f>'Job Planner'!F148</f>
        <v>0</v>
      </c>
      <c r="G148" s="16">
        <f>'Job Planner'!G148</f>
        <v>0</v>
      </c>
      <c r="H148" s="16" t="str">
        <f>'Job Planner'!I148</f>
        <v/>
      </c>
      <c r="I148" s="16" t="str">
        <f>'Job Planner'!J148</f>
        <v/>
      </c>
      <c r="J148" s="16" t="e">
        <f>'Job Planner'!N148</f>
        <v>#VALUE!</v>
      </c>
      <c r="K148" s="16" t="str">
        <f>IF(C148="BC",J148*'Mix Design'!$B$4,IF(C148="DBM",J148*'Mix Design'!$C$4,""))</f>
        <v/>
      </c>
      <c r="L148" s="16" t="str">
        <f>IF(C148="BC",J148*'Mix Design'!$B$5,IF(C148="DBM",J148*'Mix Design'!$C$5,""))</f>
        <v/>
      </c>
      <c r="M148" s="16" t="str">
        <f>IF(C148="BC",J148*'Mix Design'!$B$6,IF(C148="DBM",J148*'Mix Design'!$C$6,""))</f>
        <v/>
      </c>
      <c r="N148" s="16" t="str">
        <f>IF(C148="BC",J148*'Mix Design'!$B$7,IF(C148="DBM",J148*'Mix Design'!$C$7,""))</f>
        <v/>
      </c>
      <c r="O148" s="16" t="str">
        <f>IF(C148="BC",J148*'Mix Design'!$B$8,IF(C148="DBM",J148*'Mix Design'!$C$8,""))</f>
        <v/>
      </c>
      <c r="P148" s="16" t="str">
        <f>IF(C148="BC",J148*'Mix Design'!$B$9,IF(C148="DBM",J148*'Mix Design'!$C$9,""))</f>
        <v/>
      </c>
      <c r="Q148" s="16" t="e">
        <f>'Job Planner'!P148</f>
        <v>#VALUE!</v>
      </c>
      <c r="R148" s="16" t="e">
        <f>'Job Planner'!Q148</f>
        <v>#VALUE!</v>
      </c>
      <c r="S148" s="16" t="e">
        <f>'Job Planner'!S148</f>
        <v>#VALUE!</v>
      </c>
      <c r="T148" s="16" t="e">
        <f>'Job Planner'!Z148</f>
        <v>#VALUE!</v>
      </c>
      <c r="U148" s="16" t="e">
        <f>'Job Planner'!AB148</f>
        <v>#VALUE!</v>
      </c>
      <c r="V148" s="16">
        <f>'Job Planner'!AE148</f>
        <v>0</v>
      </c>
      <c r="W148" s="16">
        <f>'Job Planner'!AF148</f>
        <v>0</v>
      </c>
      <c r="X148" s="16" t="e">
        <f>'Job Planner'!AG148</f>
        <v>#VALUE!</v>
      </c>
    </row>
    <row r="149" spans="1:24" x14ac:dyDescent="0.2">
      <c r="A149" s="5">
        <f>'Job Planner'!A149</f>
        <v>0</v>
      </c>
      <c r="B149" s="14">
        <f>'Job Planner'!B149</f>
        <v>0</v>
      </c>
      <c r="C149" s="13">
        <f>'Job Planner'!C149</f>
        <v>0</v>
      </c>
      <c r="D149" s="14">
        <f>'Job Planner'!D149</f>
        <v>0</v>
      </c>
      <c r="E149" s="13" t="str">
        <f>IF('Job Planner'!D149="GEOMETRY",'Job Planner'!E149,'Job Planner'!K149)</f>
        <v/>
      </c>
      <c r="F149" s="16">
        <f>'Job Planner'!F149</f>
        <v>0</v>
      </c>
      <c r="G149" s="16">
        <f>'Job Planner'!G149</f>
        <v>0</v>
      </c>
      <c r="H149" s="16" t="str">
        <f>'Job Planner'!I149</f>
        <v/>
      </c>
      <c r="I149" s="16" t="str">
        <f>'Job Planner'!J149</f>
        <v/>
      </c>
      <c r="J149" s="16" t="e">
        <f>'Job Planner'!N149</f>
        <v>#VALUE!</v>
      </c>
      <c r="K149" s="16" t="str">
        <f>IF(C149="BC",J149*'Mix Design'!$B$4,IF(C149="DBM",J149*'Mix Design'!$C$4,""))</f>
        <v/>
      </c>
      <c r="L149" s="16" t="str">
        <f>IF(C149="BC",J149*'Mix Design'!$B$5,IF(C149="DBM",J149*'Mix Design'!$C$5,""))</f>
        <v/>
      </c>
      <c r="M149" s="16" t="str">
        <f>IF(C149="BC",J149*'Mix Design'!$B$6,IF(C149="DBM",J149*'Mix Design'!$C$6,""))</f>
        <v/>
      </c>
      <c r="N149" s="16" t="str">
        <f>IF(C149="BC",J149*'Mix Design'!$B$7,IF(C149="DBM",J149*'Mix Design'!$C$7,""))</f>
        <v/>
      </c>
      <c r="O149" s="16" t="str">
        <f>IF(C149="BC",J149*'Mix Design'!$B$8,IF(C149="DBM",J149*'Mix Design'!$C$8,""))</f>
        <v/>
      </c>
      <c r="P149" s="16" t="str">
        <f>IF(C149="BC",J149*'Mix Design'!$B$9,IF(C149="DBM",J149*'Mix Design'!$C$9,""))</f>
        <v/>
      </c>
      <c r="Q149" s="16" t="e">
        <f>'Job Planner'!P149</f>
        <v>#VALUE!</v>
      </c>
      <c r="R149" s="16" t="e">
        <f>'Job Planner'!Q149</f>
        <v>#VALUE!</v>
      </c>
      <c r="S149" s="16" t="e">
        <f>'Job Planner'!S149</f>
        <v>#VALUE!</v>
      </c>
      <c r="T149" s="16" t="e">
        <f>'Job Planner'!Z149</f>
        <v>#VALUE!</v>
      </c>
      <c r="U149" s="16" t="e">
        <f>'Job Planner'!AB149</f>
        <v>#VALUE!</v>
      </c>
      <c r="V149" s="16">
        <f>'Job Planner'!AE149</f>
        <v>0</v>
      </c>
      <c r="W149" s="16">
        <f>'Job Planner'!AF149</f>
        <v>0</v>
      </c>
      <c r="X149" s="16" t="e">
        <f>'Job Planner'!AG149</f>
        <v>#VALUE!</v>
      </c>
    </row>
    <row r="150" spans="1:24" x14ac:dyDescent="0.2">
      <c r="A150" s="5">
        <f>'Job Planner'!A150</f>
        <v>0</v>
      </c>
      <c r="B150" s="14">
        <f>'Job Planner'!B150</f>
        <v>0</v>
      </c>
      <c r="C150" s="13">
        <f>'Job Planner'!C150</f>
        <v>0</v>
      </c>
      <c r="D150" s="14">
        <f>'Job Planner'!D150</f>
        <v>0</v>
      </c>
      <c r="E150" s="13" t="str">
        <f>IF('Job Planner'!D150="GEOMETRY",'Job Planner'!E150,'Job Planner'!K150)</f>
        <v/>
      </c>
      <c r="F150" s="16">
        <f>'Job Planner'!F150</f>
        <v>0</v>
      </c>
      <c r="G150" s="16">
        <f>'Job Planner'!G150</f>
        <v>0</v>
      </c>
      <c r="H150" s="16" t="str">
        <f>'Job Planner'!I150</f>
        <v/>
      </c>
      <c r="I150" s="16" t="str">
        <f>'Job Planner'!J150</f>
        <v/>
      </c>
      <c r="J150" s="16" t="e">
        <f>'Job Planner'!N150</f>
        <v>#VALUE!</v>
      </c>
      <c r="K150" s="16" t="str">
        <f>IF(C150="BC",J150*'Mix Design'!$B$4,IF(C150="DBM",J150*'Mix Design'!$C$4,""))</f>
        <v/>
      </c>
      <c r="L150" s="16" t="str">
        <f>IF(C150="BC",J150*'Mix Design'!$B$5,IF(C150="DBM",J150*'Mix Design'!$C$5,""))</f>
        <v/>
      </c>
      <c r="M150" s="16" t="str">
        <f>IF(C150="BC",J150*'Mix Design'!$B$6,IF(C150="DBM",J150*'Mix Design'!$C$6,""))</f>
        <v/>
      </c>
      <c r="N150" s="16" t="str">
        <f>IF(C150="BC",J150*'Mix Design'!$B$7,IF(C150="DBM",J150*'Mix Design'!$C$7,""))</f>
        <v/>
      </c>
      <c r="O150" s="16" t="str">
        <f>IF(C150="BC",J150*'Mix Design'!$B$8,IF(C150="DBM",J150*'Mix Design'!$C$8,""))</f>
        <v/>
      </c>
      <c r="P150" s="16" t="str">
        <f>IF(C150="BC",J150*'Mix Design'!$B$9,IF(C150="DBM",J150*'Mix Design'!$C$9,""))</f>
        <v/>
      </c>
      <c r="Q150" s="16" t="e">
        <f>'Job Planner'!P150</f>
        <v>#VALUE!</v>
      </c>
      <c r="R150" s="16" t="e">
        <f>'Job Planner'!Q150</f>
        <v>#VALUE!</v>
      </c>
      <c r="S150" s="16" t="e">
        <f>'Job Planner'!S150</f>
        <v>#VALUE!</v>
      </c>
      <c r="T150" s="16" t="e">
        <f>'Job Planner'!Z150</f>
        <v>#VALUE!</v>
      </c>
      <c r="U150" s="16" t="e">
        <f>'Job Planner'!AB150</f>
        <v>#VALUE!</v>
      </c>
      <c r="V150" s="16">
        <f>'Job Planner'!AE150</f>
        <v>0</v>
      </c>
      <c r="W150" s="16">
        <f>'Job Planner'!AF150</f>
        <v>0</v>
      </c>
      <c r="X150" s="16" t="e">
        <f>'Job Planner'!AG150</f>
        <v>#VALUE!</v>
      </c>
    </row>
    <row r="151" spans="1:24" x14ac:dyDescent="0.2">
      <c r="A151" s="5">
        <f>'Job Planner'!A151</f>
        <v>0</v>
      </c>
      <c r="B151" s="14">
        <f>'Job Planner'!B151</f>
        <v>0</v>
      </c>
      <c r="C151" s="13">
        <f>'Job Planner'!C151</f>
        <v>0</v>
      </c>
      <c r="D151" s="14">
        <f>'Job Planner'!D151</f>
        <v>0</v>
      </c>
      <c r="E151" s="13" t="str">
        <f>IF('Job Planner'!D151="GEOMETRY",'Job Planner'!E151,'Job Planner'!K151)</f>
        <v/>
      </c>
      <c r="F151" s="16">
        <f>'Job Planner'!F151</f>
        <v>0</v>
      </c>
      <c r="G151" s="16">
        <f>'Job Planner'!G151</f>
        <v>0</v>
      </c>
      <c r="H151" s="16" t="str">
        <f>'Job Planner'!I151</f>
        <v/>
      </c>
      <c r="I151" s="16" t="str">
        <f>'Job Planner'!J151</f>
        <v/>
      </c>
      <c r="J151" s="16" t="e">
        <f>'Job Planner'!N151</f>
        <v>#VALUE!</v>
      </c>
      <c r="K151" s="16" t="str">
        <f>IF(C151="BC",J151*'Mix Design'!$B$4,IF(C151="DBM",J151*'Mix Design'!$C$4,""))</f>
        <v/>
      </c>
      <c r="L151" s="16" t="str">
        <f>IF(C151="BC",J151*'Mix Design'!$B$5,IF(C151="DBM",J151*'Mix Design'!$C$5,""))</f>
        <v/>
      </c>
      <c r="M151" s="16" t="str">
        <f>IF(C151="BC",J151*'Mix Design'!$B$6,IF(C151="DBM",J151*'Mix Design'!$C$6,""))</f>
        <v/>
      </c>
      <c r="N151" s="16" t="str">
        <f>IF(C151="BC",J151*'Mix Design'!$B$7,IF(C151="DBM",J151*'Mix Design'!$C$7,""))</f>
        <v/>
      </c>
      <c r="O151" s="16" t="str">
        <f>IF(C151="BC",J151*'Mix Design'!$B$8,IF(C151="DBM",J151*'Mix Design'!$C$8,""))</f>
        <v/>
      </c>
      <c r="P151" s="16" t="str">
        <f>IF(C151="BC",J151*'Mix Design'!$B$9,IF(C151="DBM",J151*'Mix Design'!$C$9,""))</f>
        <v/>
      </c>
      <c r="Q151" s="16" t="e">
        <f>'Job Planner'!P151</f>
        <v>#VALUE!</v>
      </c>
      <c r="R151" s="16" t="e">
        <f>'Job Planner'!Q151</f>
        <v>#VALUE!</v>
      </c>
      <c r="S151" s="16" t="e">
        <f>'Job Planner'!S151</f>
        <v>#VALUE!</v>
      </c>
      <c r="T151" s="16" t="e">
        <f>'Job Planner'!Z151</f>
        <v>#VALUE!</v>
      </c>
      <c r="U151" s="16" t="e">
        <f>'Job Planner'!AB151</f>
        <v>#VALUE!</v>
      </c>
      <c r="V151" s="16">
        <f>'Job Planner'!AE151</f>
        <v>0</v>
      </c>
      <c r="W151" s="16">
        <f>'Job Planner'!AF151</f>
        <v>0</v>
      </c>
      <c r="X151" s="16" t="e">
        <f>'Job Planner'!AG151</f>
        <v>#VALUE!</v>
      </c>
    </row>
    <row r="152" spans="1:24" x14ac:dyDescent="0.2">
      <c r="A152" s="5">
        <f>'Job Planner'!A152</f>
        <v>0</v>
      </c>
      <c r="B152" s="14">
        <f>'Job Planner'!B152</f>
        <v>0</v>
      </c>
      <c r="C152" s="13">
        <f>'Job Planner'!C152</f>
        <v>0</v>
      </c>
      <c r="D152" s="14">
        <f>'Job Planner'!D152</f>
        <v>0</v>
      </c>
      <c r="E152" s="13" t="str">
        <f>IF('Job Planner'!D152="GEOMETRY",'Job Planner'!E152,'Job Planner'!K152)</f>
        <v/>
      </c>
      <c r="F152" s="16">
        <f>'Job Planner'!F152</f>
        <v>0</v>
      </c>
      <c r="G152" s="16">
        <f>'Job Planner'!G152</f>
        <v>0</v>
      </c>
      <c r="H152" s="16" t="str">
        <f>'Job Planner'!I152</f>
        <v/>
      </c>
      <c r="I152" s="16" t="str">
        <f>'Job Planner'!J152</f>
        <v/>
      </c>
      <c r="J152" s="16" t="e">
        <f>'Job Planner'!N152</f>
        <v>#VALUE!</v>
      </c>
      <c r="K152" s="16" t="str">
        <f>IF(C152="BC",J152*'Mix Design'!$B$4,IF(C152="DBM",J152*'Mix Design'!$C$4,""))</f>
        <v/>
      </c>
      <c r="L152" s="16" t="str">
        <f>IF(C152="BC",J152*'Mix Design'!$B$5,IF(C152="DBM",J152*'Mix Design'!$C$5,""))</f>
        <v/>
      </c>
      <c r="M152" s="16" t="str">
        <f>IF(C152="BC",J152*'Mix Design'!$B$6,IF(C152="DBM",J152*'Mix Design'!$C$6,""))</f>
        <v/>
      </c>
      <c r="N152" s="16" t="str">
        <f>IF(C152="BC",J152*'Mix Design'!$B$7,IF(C152="DBM",J152*'Mix Design'!$C$7,""))</f>
        <v/>
      </c>
      <c r="O152" s="16" t="str">
        <f>IF(C152="BC",J152*'Mix Design'!$B$8,IF(C152="DBM",J152*'Mix Design'!$C$8,""))</f>
        <v/>
      </c>
      <c r="P152" s="16" t="str">
        <f>IF(C152="BC",J152*'Mix Design'!$B$9,IF(C152="DBM",J152*'Mix Design'!$C$9,""))</f>
        <v/>
      </c>
      <c r="Q152" s="16" t="e">
        <f>'Job Planner'!P152</f>
        <v>#VALUE!</v>
      </c>
      <c r="R152" s="16" t="e">
        <f>'Job Planner'!Q152</f>
        <v>#VALUE!</v>
      </c>
      <c r="S152" s="16" t="e">
        <f>'Job Planner'!S152</f>
        <v>#VALUE!</v>
      </c>
      <c r="T152" s="16" t="e">
        <f>'Job Planner'!Z152</f>
        <v>#VALUE!</v>
      </c>
      <c r="U152" s="16" t="e">
        <f>'Job Planner'!AB152</f>
        <v>#VALUE!</v>
      </c>
      <c r="V152" s="16">
        <f>'Job Planner'!AE152</f>
        <v>0</v>
      </c>
      <c r="W152" s="16">
        <f>'Job Planner'!AF152</f>
        <v>0</v>
      </c>
      <c r="X152" s="16" t="e">
        <f>'Job Planner'!AG152</f>
        <v>#VALUE!</v>
      </c>
    </row>
    <row r="153" spans="1:24" x14ac:dyDescent="0.2">
      <c r="A153" s="5">
        <f>'Job Planner'!A153</f>
        <v>0</v>
      </c>
      <c r="B153" s="14">
        <f>'Job Planner'!B153</f>
        <v>0</v>
      </c>
      <c r="C153" s="13">
        <f>'Job Planner'!C153</f>
        <v>0</v>
      </c>
      <c r="D153" s="14">
        <f>'Job Planner'!D153</f>
        <v>0</v>
      </c>
      <c r="E153" s="13" t="str">
        <f>IF('Job Planner'!D153="GEOMETRY",'Job Planner'!E153,'Job Planner'!K153)</f>
        <v/>
      </c>
      <c r="F153" s="16">
        <f>'Job Planner'!F153</f>
        <v>0</v>
      </c>
      <c r="G153" s="16">
        <f>'Job Planner'!G153</f>
        <v>0</v>
      </c>
      <c r="H153" s="16" t="str">
        <f>'Job Planner'!I153</f>
        <v/>
      </c>
      <c r="I153" s="16" t="str">
        <f>'Job Planner'!J153</f>
        <v/>
      </c>
      <c r="J153" s="16" t="e">
        <f>'Job Planner'!N153</f>
        <v>#VALUE!</v>
      </c>
      <c r="K153" s="16" t="str">
        <f>IF(C153="BC",J153*'Mix Design'!$B$4,IF(C153="DBM",J153*'Mix Design'!$C$4,""))</f>
        <v/>
      </c>
      <c r="L153" s="16" t="str">
        <f>IF(C153="BC",J153*'Mix Design'!$B$5,IF(C153="DBM",J153*'Mix Design'!$C$5,""))</f>
        <v/>
      </c>
      <c r="M153" s="16" t="str">
        <f>IF(C153="BC",J153*'Mix Design'!$B$6,IF(C153="DBM",J153*'Mix Design'!$C$6,""))</f>
        <v/>
      </c>
      <c r="N153" s="16" t="str">
        <f>IF(C153="BC",J153*'Mix Design'!$B$7,IF(C153="DBM",J153*'Mix Design'!$C$7,""))</f>
        <v/>
      </c>
      <c r="O153" s="16" t="str">
        <f>IF(C153="BC",J153*'Mix Design'!$B$8,IF(C153="DBM",J153*'Mix Design'!$C$8,""))</f>
        <v/>
      </c>
      <c r="P153" s="16" t="str">
        <f>IF(C153="BC",J153*'Mix Design'!$B$9,IF(C153="DBM",J153*'Mix Design'!$C$9,""))</f>
        <v/>
      </c>
      <c r="Q153" s="16" t="e">
        <f>'Job Planner'!P153</f>
        <v>#VALUE!</v>
      </c>
      <c r="R153" s="16" t="e">
        <f>'Job Planner'!Q153</f>
        <v>#VALUE!</v>
      </c>
      <c r="S153" s="16" t="e">
        <f>'Job Planner'!S153</f>
        <v>#VALUE!</v>
      </c>
      <c r="T153" s="16" t="e">
        <f>'Job Planner'!Z153</f>
        <v>#VALUE!</v>
      </c>
      <c r="U153" s="16" t="e">
        <f>'Job Planner'!AB153</f>
        <v>#VALUE!</v>
      </c>
      <c r="V153" s="16">
        <f>'Job Planner'!AE153</f>
        <v>0</v>
      </c>
      <c r="W153" s="16">
        <f>'Job Planner'!AF153</f>
        <v>0</v>
      </c>
      <c r="X153" s="16" t="e">
        <f>'Job Planner'!AG153</f>
        <v>#VALUE!</v>
      </c>
    </row>
    <row r="154" spans="1:24" x14ac:dyDescent="0.2">
      <c r="A154" s="5">
        <f>'Job Planner'!A154</f>
        <v>0</v>
      </c>
      <c r="B154" s="14">
        <f>'Job Planner'!B154</f>
        <v>0</v>
      </c>
      <c r="C154" s="13">
        <f>'Job Planner'!C154</f>
        <v>0</v>
      </c>
      <c r="D154" s="14">
        <f>'Job Planner'!D154</f>
        <v>0</v>
      </c>
      <c r="E154" s="13" t="str">
        <f>IF('Job Planner'!D154="GEOMETRY",'Job Planner'!E154,'Job Planner'!K154)</f>
        <v/>
      </c>
      <c r="F154" s="16">
        <f>'Job Planner'!F154</f>
        <v>0</v>
      </c>
      <c r="G154" s="16">
        <f>'Job Planner'!G154</f>
        <v>0</v>
      </c>
      <c r="H154" s="16" t="str">
        <f>'Job Planner'!I154</f>
        <v/>
      </c>
      <c r="I154" s="16" t="str">
        <f>'Job Planner'!J154</f>
        <v/>
      </c>
      <c r="J154" s="16" t="e">
        <f>'Job Planner'!N154</f>
        <v>#VALUE!</v>
      </c>
      <c r="K154" s="16" t="str">
        <f>IF(C154="BC",J154*'Mix Design'!$B$4,IF(C154="DBM",J154*'Mix Design'!$C$4,""))</f>
        <v/>
      </c>
      <c r="L154" s="16" t="str">
        <f>IF(C154="BC",J154*'Mix Design'!$B$5,IF(C154="DBM",J154*'Mix Design'!$C$5,""))</f>
        <v/>
      </c>
      <c r="M154" s="16" t="str">
        <f>IF(C154="BC",J154*'Mix Design'!$B$6,IF(C154="DBM",J154*'Mix Design'!$C$6,""))</f>
        <v/>
      </c>
      <c r="N154" s="16" t="str">
        <f>IF(C154="BC",J154*'Mix Design'!$B$7,IF(C154="DBM",J154*'Mix Design'!$C$7,""))</f>
        <v/>
      </c>
      <c r="O154" s="16" t="str">
        <f>IF(C154="BC",J154*'Mix Design'!$B$8,IF(C154="DBM",J154*'Mix Design'!$C$8,""))</f>
        <v/>
      </c>
      <c r="P154" s="16" t="str">
        <f>IF(C154="BC",J154*'Mix Design'!$B$9,IF(C154="DBM",J154*'Mix Design'!$C$9,""))</f>
        <v/>
      </c>
      <c r="Q154" s="16" t="e">
        <f>'Job Planner'!P154</f>
        <v>#VALUE!</v>
      </c>
      <c r="R154" s="16" t="e">
        <f>'Job Planner'!Q154</f>
        <v>#VALUE!</v>
      </c>
      <c r="S154" s="16" t="e">
        <f>'Job Planner'!S154</f>
        <v>#VALUE!</v>
      </c>
      <c r="T154" s="16" t="e">
        <f>'Job Planner'!Z154</f>
        <v>#VALUE!</v>
      </c>
      <c r="U154" s="16" t="e">
        <f>'Job Planner'!AB154</f>
        <v>#VALUE!</v>
      </c>
      <c r="V154" s="16">
        <f>'Job Planner'!AE154</f>
        <v>0</v>
      </c>
      <c r="W154" s="16">
        <f>'Job Planner'!AF154</f>
        <v>0</v>
      </c>
      <c r="X154" s="16" t="e">
        <f>'Job Planner'!AG154</f>
        <v>#VALUE!</v>
      </c>
    </row>
    <row r="155" spans="1:24" x14ac:dyDescent="0.2">
      <c r="A155" s="5">
        <f>'Job Planner'!A155</f>
        <v>0</v>
      </c>
      <c r="B155" s="14">
        <f>'Job Planner'!B155</f>
        <v>0</v>
      </c>
      <c r="C155" s="13">
        <f>'Job Planner'!C155</f>
        <v>0</v>
      </c>
      <c r="D155" s="14">
        <f>'Job Planner'!D155</f>
        <v>0</v>
      </c>
      <c r="E155" s="13" t="str">
        <f>IF('Job Planner'!D155="GEOMETRY",'Job Planner'!E155,'Job Planner'!K155)</f>
        <v/>
      </c>
      <c r="F155" s="16">
        <f>'Job Planner'!F155</f>
        <v>0</v>
      </c>
      <c r="G155" s="16">
        <f>'Job Planner'!G155</f>
        <v>0</v>
      </c>
      <c r="H155" s="16" t="str">
        <f>'Job Planner'!I155</f>
        <v/>
      </c>
      <c r="I155" s="16" t="str">
        <f>'Job Planner'!J155</f>
        <v/>
      </c>
      <c r="J155" s="16" t="e">
        <f>'Job Planner'!N155</f>
        <v>#VALUE!</v>
      </c>
      <c r="K155" s="16" t="str">
        <f>IF(C155="BC",J155*'Mix Design'!$B$4,IF(C155="DBM",J155*'Mix Design'!$C$4,""))</f>
        <v/>
      </c>
      <c r="L155" s="16" t="str">
        <f>IF(C155="BC",J155*'Mix Design'!$B$5,IF(C155="DBM",J155*'Mix Design'!$C$5,""))</f>
        <v/>
      </c>
      <c r="M155" s="16" t="str">
        <f>IF(C155="BC",J155*'Mix Design'!$B$6,IF(C155="DBM",J155*'Mix Design'!$C$6,""))</f>
        <v/>
      </c>
      <c r="N155" s="16" t="str">
        <f>IF(C155="BC",J155*'Mix Design'!$B$7,IF(C155="DBM",J155*'Mix Design'!$C$7,""))</f>
        <v/>
      </c>
      <c r="O155" s="16" t="str">
        <f>IF(C155="BC",J155*'Mix Design'!$B$8,IF(C155="DBM",J155*'Mix Design'!$C$8,""))</f>
        <v/>
      </c>
      <c r="P155" s="16" t="str">
        <f>IF(C155="BC",J155*'Mix Design'!$B$9,IF(C155="DBM",J155*'Mix Design'!$C$9,""))</f>
        <v/>
      </c>
      <c r="Q155" s="16" t="e">
        <f>'Job Planner'!P155</f>
        <v>#VALUE!</v>
      </c>
      <c r="R155" s="16" t="e">
        <f>'Job Planner'!Q155</f>
        <v>#VALUE!</v>
      </c>
      <c r="S155" s="16" t="e">
        <f>'Job Planner'!S155</f>
        <v>#VALUE!</v>
      </c>
      <c r="T155" s="16" t="e">
        <f>'Job Planner'!Z155</f>
        <v>#VALUE!</v>
      </c>
      <c r="U155" s="16" t="e">
        <f>'Job Planner'!AB155</f>
        <v>#VALUE!</v>
      </c>
      <c r="V155" s="16">
        <f>'Job Planner'!AE155</f>
        <v>0</v>
      </c>
      <c r="W155" s="16">
        <f>'Job Planner'!AF155</f>
        <v>0</v>
      </c>
      <c r="X155" s="16" t="e">
        <f>'Job Planner'!AG155</f>
        <v>#VALUE!</v>
      </c>
    </row>
    <row r="156" spans="1:24" x14ac:dyDescent="0.2">
      <c r="A156" s="5">
        <f>'Job Planner'!A156</f>
        <v>0</v>
      </c>
      <c r="B156" s="14">
        <f>'Job Planner'!B156</f>
        <v>0</v>
      </c>
      <c r="C156" s="13">
        <f>'Job Planner'!C156</f>
        <v>0</v>
      </c>
      <c r="D156" s="14">
        <f>'Job Planner'!D156</f>
        <v>0</v>
      </c>
      <c r="E156" s="13" t="str">
        <f>IF('Job Planner'!D156="GEOMETRY",'Job Planner'!E156,'Job Planner'!K156)</f>
        <v/>
      </c>
      <c r="F156" s="16">
        <f>'Job Planner'!F156</f>
        <v>0</v>
      </c>
      <c r="G156" s="16">
        <f>'Job Planner'!G156</f>
        <v>0</v>
      </c>
      <c r="H156" s="16" t="str">
        <f>'Job Planner'!I156</f>
        <v/>
      </c>
      <c r="I156" s="16" t="str">
        <f>'Job Planner'!J156</f>
        <v/>
      </c>
      <c r="J156" s="16" t="e">
        <f>'Job Planner'!N156</f>
        <v>#VALUE!</v>
      </c>
      <c r="K156" s="16" t="str">
        <f>IF(C156="BC",J156*'Mix Design'!$B$4,IF(C156="DBM",J156*'Mix Design'!$C$4,""))</f>
        <v/>
      </c>
      <c r="L156" s="16" t="str">
        <f>IF(C156="BC",J156*'Mix Design'!$B$5,IF(C156="DBM",J156*'Mix Design'!$C$5,""))</f>
        <v/>
      </c>
      <c r="M156" s="16" t="str">
        <f>IF(C156="BC",J156*'Mix Design'!$B$6,IF(C156="DBM",J156*'Mix Design'!$C$6,""))</f>
        <v/>
      </c>
      <c r="N156" s="16" t="str">
        <f>IF(C156="BC",J156*'Mix Design'!$B$7,IF(C156="DBM",J156*'Mix Design'!$C$7,""))</f>
        <v/>
      </c>
      <c r="O156" s="16" t="str">
        <f>IF(C156="BC",J156*'Mix Design'!$B$8,IF(C156="DBM",J156*'Mix Design'!$C$8,""))</f>
        <v/>
      </c>
      <c r="P156" s="16" t="str">
        <f>IF(C156="BC",J156*'Mix Design'!$B$9,IF(C156="DBM",J156*'Mix Design'!$C$9,""))</f>
        <v/>
      </c>
      <c r="Q156" s="16" t="e">
        <f>'Job Planner'!P156</f>
        <v>#VALUE!</v>
      </c>
      <c r="R156" s="16" t="e">
        <f>'Job Planner'!Q156</f>
        <v>#VALUE!</v>
      </c>
      <c r="S156" s="16" t="e">
        <f>'Job Planner'!S156</f>
        <v>#VALUE!</v>
      </c>
      <c r="T156" s="16" t="e">
        <f>'Job Planner'!Z156</f>
        <v>#VALUE!</v>
      </c>
      <c r="U156" s="16" t="e">
        <f>'Job Planner'!AB156</f>
        <v>#VALUE!</v>
      </c>
      <c r="V156" s="16">
        <f>'Job Planner'!AE156</f>
        <v>0</v>
      </c>
      <c r="W156" s="16">
        <f>'Job Planner'!AF156</f>
        <v>0</v>
      </c>
      <c r="X156" s="16" t="e">
        <f>'Job Planner'!AG156</f>
        <v>#VALUE!</v>
      </c>
    </row>
    <row r="157" spans="1:24" x14ac:dyDescent="0.2">
      <c r="A157" s="5">
        <f>'Job Planner'!A157</f>
        <v>0</v>
      </c>
      <c r="B157" s="14">
        <f>'Job Planner'!B157</f>
        <v>0</v>
      </c>
      <c r="C157" s="13">
        <f>'Job Planner'!C157</f>
        <v>0</v>
      </c>
      <c r="D157" s="14">
        <f>'Job Planner'!D157</f>
        <v>0</v>
      </c>
      <c r="E157" s="13" t="str">
        <f>IF('Job Planner'!D157="GEOMETRY",'Job Planner'!E157,'Job Planner'!K157)</f>
        <v/>
      </c>
      <c r="F157" s="16">
        <f>'Job Planner'!F157</f>
        <v>0</v>
      </c>
      <c r="G157" s="16">
        <f>'Job Planner'!G157</f>
        <v>0</v>
      </c>
      <c r="H157" s="16" t="str">
        <f>'Job Planner'!I157</f>
        <v/>
      </c>
      <c r="I157" s="16" t="str">
        <f>'Job Planner'!J157</f>
        <v/>
      </c>
      <c r="J157" s="16" t="e">
        <f>'Job Planner'!N157</f>
        <v>#VALUE!</v>
      </c>
      <c r="K157" s="16" t="str">
        <f>IF(C157="BC",J157*'Mix Design'!$B$4,IF(C157="DBM",J157*'Mix Design'!$C$4,""))</f>
        <v/>
      </c>
      <c r="L157" s="16" t="str">
        <f>IF(C157="BC",J157*'Mix Design'!$B$5,IF(C157="DBM",J157*'Mix Design'!$C$5,""))</f>
        <v/>
      </c>
      <c r="M157" s="16" t="str">
        <f>IF(C157="BC",J157*'Mix Design'!$B$6,IF(C157="DBM",J157*'Mix Design'!$C$6,""))</f>
        <v/>
      </c>
      <c r="N157" s="16" t="str">
        <f>IF(C157="BC",J157*'Mix Design'!$B$7,IF(C157="DBM",J157*'Mix Design'!$C$7,""))</f>
        <v/>
      </c>
      <c r="O157" s="16" t="str">
        <f>IF(C157="BC",J157*'Mix Design'!$B$8,IF(C157="DBM",J157*'Mix Design'!$C$8,""))</f>
        <v/>
      </c>
      <c r="P157" s="16" t="str">
        <f>IF(C157="BC",J157*'Mix Design'!$B$9,IF(C157="DBM",J157*'Mix Design'!$C$9,""))</f>
        <v/>
      </c>
      <c r="Q157" s="16" t="e">
        <f>'Job Planner'!P157</f>
        <v>#VALUE!</v>
      </c>
      <c r="R157" s="16" t="e">
        <f>'Job Planner'!Q157</f>
        <v>#VALUE!</v>
      </c>
      <c r="S157" s="16" t="e">
        <f>'Job Planner'!S157</f>
        <v>#VALUE!</v>
      </c>
      <c r="T157" s="16" t="e">
        <f>'Job Planner'!Z157</f>
        <v>#VALUE!</v>
      </c>
      <c r="U157" s="16" t="e">
        <f>'Job Planner'!AB157</f>
        <v>#VALUE!</v>
      </c>
      <c r="V157" s="16">
        <f>'Job Planner'!AE157</f>
        <v>0</v>
      </c>
      <c r="W157" s="16">
        <f>'Job Planner'!AF157</f>
        <v>0</v>
      </c>
      <c r="X157" s="16" t="e">
        <f>'Job Planner'!AG157</f>
        <v>#VALUE!</v>
      </c>
    </row>
    <row r="158" spans="1:24" x14ac:dyDescent="0.2">
      <c r="A158" s="5">
        <f>'Job Planner'!A158</f>
        <v>0</v>
      </c>
      <c r="B158" s="14">
        <f>'Job Planner'!B158</f>
        <v>0</v>
      </c>
      <c r="C158" s="13">
        <f>'Job Planner'!C158</f>
        <v>0</v>
      </c>
      <c r="D158" s="14">
        <f>'Job Planner'!D158</f>
        <v>0</v>
      </c>
      <c r="E158" s="13" t="str">
        <f>IF('Job Planner'!D158="GEOMETRY",'Job Planner'!E158,'Job Planner'!K158)</f>
        <v/>
      </c>
      <c r="F158" s="16">
        <f>'Job Planner'!F158</f>
        <v>0</v>
      </c>
      <c r="G158" s="16">
        <f>'Job Planner'!G158</f>
        <v>0</v>
      </c>
      <c r="H158" s="16" t="str">
        <f>'Job Planner'!I158</f>
        <v/>
      </c>
      <c r="I158" s="16" t="str">
        <f>'Job Planner'!J158</f>
        <v/>
      </c>
      <c r="J158" s="16" t="e">
        <f>'Job Planner'!N158</f>
        <v>#VALUE!</v>
      </c>
      <c r="K158" s="16" t="str">
        <f>IF(C158="BC",J158*'Mix Design'!$B$4,IF(C158="DBM",J158*'Mix Design'!$C$4,""))</f>
        <v/>
      </c>
      <c r="L158" s="16" t="str">
        <f>IF(C158="BC",J158*'Mix Design'!$B$5,IF(C158="DBM",J158*'Mix Design'!$C$5,""))</f>
        <v/>
      </c>
      <c r="M158" s="16" t="str">
        <f>IF(C158="BC",J158*'Mix Design'!$B$6,IF(C158="DBM",J158*'Mix Design'!$C$6,""))</f>
        <v/>
      </c>
      <c r="N158" s="16" t="str">
        <f>IF(C158="BC",J158*'Mix Design'!$B$7,IF(C158="DBM",J158*'Mix Design'!$C$7,""))</f>
        <v/>
      </c>
      <c r="O158" s="16" t="str">
        <f>IF(C158="BC",J158*'Mix Design'!$B$8,IF(C158="DBM",J158*'Mix Design'!$C$8,""))</f>
        <v/>
      </c>
      <c r="P158" s="16" t="str">
        <f>IF(C158="BC",J158*'Mix Design'!$B$9,IF(C158="DBM",J158*'Mix Design'!$C$9,""))</f>
        <v/>
      </c>
      <c r="Q158" s="16" t="e">
        <f>'Job Planner'!P158</f>
        <v>#VALUE!</v>
      </c>
      <c r="R158" s="16" t="e">
        <f>'Job Planner'!Q158</f>
        <v>#VALUE!</v>
      </c>
      <c r="S158" s="16" t="e">
        <f>'Job Planner'!S158</f>
        <v>#VALUE!</v>
      </c>
      <c r="T158" s="16" t="e">
        <f>'Job Planner'!Z158</f>
        <v>#VALUE!</v>
      </c>
      <c r="U158" s="16" t="e">
        <f>'Job Planner'!AB158</f>
        <v>#VALUE!</v>
      </c>
      <c r="V158" s="16">
        <f>'Job Planner'!AE158</f>
        <v>0</v>
      </c>
      <c r="W158" s="16">
        <f>'Job Planner'!AF158</f>
        <v>0</v>
      </c>
      <c r="X158" s="16" t="e">
        <f>'Job Planner'!AG158</f>
        <v>#VALUE!</v>
      </c>
    </row>
    <row r="159" spans="1:24" x14ac:dyDescent="0.2">
      <c r="A159" s="5">
        <f>'Job Planner'!A159</f>
        <v>0</v>
      </c>
      <c r="B159" s="14">
        <f>'Job Planner'!B159</f>
        <v>0</v>
      </c>
      <c r="C159" s="13">
        <f>'Job Planner'!C159</f>
        <v>0</v>
      </c>
      <c r="D159" s="14">
        <f>'Job Planner'!D159</f>
        <v>0</v>
      </c>
      <c r="E159" s="13" t="str">
        <f>IF('Job Planner'!D159="GEOMETRY",'Job Planner'!E159,'Job Planner'!K159)</f>
        <v/>
      </c>
      <c r="F159" s="16">
        <f>'Job Planner'!F159</f>
        <v>0</v>
      </c>
      <c r="G159" s="16">
        <f>'Job Planner'!G159</f>
        <v>0</v>
      </c>
      <c r="H159" s="16" t="str">
        <f>'Job Planner'!I159</f>
        <v/>
      </c>
      <c r="I159" s="16" t="str">
        <f>'Job Planner'!J159</f>
        <v/>
      </c>
      <c r="J159" s="16" t="e">
        <f>'Job Planner'!N159</f>
        <v>#VALUE!</v>
      </c>
      <c r="K159" s="16" t="str">
        <f>IF(C159="BC",J159*'Mix Design'!$B$4,IF(C159="DBM",J159*'Mix Design'!$C$4,""))</f>
        <v/>
      </c>
      <c r="L159" s="16" t="str">
        <f>IF(C159="BC",J159*'Mix Design'!$B$5,IF(C159="DBM",J159*'Mix Design'!$C$5,""))</f>
        <v/>
      </c>
      <c r="M159" s="16" t="str">
        <f>IF(C159="BC",J159*'Mix Design'!$B$6,IF(C159="DBM",J159*'Mix Design'!$C$6,""))</f>
        <v/>
      </c>
      <c r="N159" s="16" t="str">
        <f>IF(C159="BC",J159*'Mix Design'!$B$7,IF(C159="DBM",J159*'Mix Design'!$C$7,""))</f>
        <v/>
      </c>
      <c r="O159" s="16" t="str">
        <f>IF(C159="BC",J159*'Mix Design'!$B$8,IF(C159="DBM",J159*'Mix Design'!$C$8,""))</f>
        <v/>
      </c>
      <c r="P159" s="16" t="str">
        <f>IF(C159="BC",J159*'Mix Design'!$B$9,IF(C159="DBM",J159*'Mix Design'!$C$9,""))</f>
        <v/>
      </c>
      <c r="Q159" s="16" t="e">
        <f>'Job Planner'!P159</f>
        <v>#VALUE!</v>
      </c>
      <c r="R159" s="16" t="e">
        <f>'Job Planner'!Q159</f>
        <v>#VALUE!</v>
      </c>
      <c r="S159" s="16" t="e">
        <f>'Job Planner'!S159</f>
        <v>#VALUE!</v>
      </c>
      <c r="T159" s="16" t="e">
        <f>'Job Planner'!Z159</f>
        <v>#VALUE!</v>
      </c>
      <c r="U159" s="16" t="e">
        <f>'Job Planner'!AB159</f>
        <v>#VALUE!</v>
      </c>
      <c r="V159" s="16">
        <f>'Job Planner'!AE159</f>
        <v>0</v>
      </c>
      <c r="W159" s="16">
        <f>'Job Planner'!AF159</f>
        <v>0</v>
      </c>
      <c r="X159" s="16" t="e">
        <f>'Job Planner'!AG159</f>
        <v>#VALUE!</v>
      </c>
    </row>
    <row r="160" spans="1:24" x14ac:dyDescent="0.2">
      <c r="A160" s="5">
        <f>'Job Planner'!A160</f>
        <v>0</v>
      </c>
      <c r="B160" s="14">
        <f>'Job Planner'!B160</f>
        <v>0</v>
      </c>
      <c r="C160" s="13">
        <f>'Job Planner'!C160</f>
        <v>0</v>
      </c>
      <c r="D160" s="14">
        <f>'Job Planner'!D160</f>
        <v>0</v>
      </c>
      <c r="E160" s="13" t="str">
        <f>IF('Job Planner'!D160="GEOMETRY",'Job Planner'!E160,'Job Planner'!K160)</f>
        <v/>
      </c>
      <c r="F160" s="16">
        <f>'Job Planner'!F160</f>
        <v>0</v>
      </c>
      <c r="G160" s="16">
        <f>'Job Planner'!G160</f>
        <v>0</v>
      </c>
      <c r="H160" s="16" t="str">
        <f>'Job Planner'!I160</f>
        <v/>
      </c>
      <c r="I160" s="16" t="str">
        <f>'Job Planner'!J160</f>
        <v/>
      </c>
      <c r="J160" s="16" t="e">
        <f>'Job Planner'!N160</f>
        <v>#VALUE!</v>
      </c>
      <c r="K160" s="16" t="str">
        <f>IF(C160="BC",J160*'Mix Design'!$B$4,IF(C160="DBM",J160*'Mix Design'!$C$4,""))</f>
        <v/>
      </c>
      <c r="L160" s="16" t="str">
        <f>IF(C160="BC",J160*'Mix Design'!$B$5,IF(C160="DBM",J160*'Mix Design'!$C$5,""))</f>
        <v/>
      </c>
      <c r="M160" s="16" t="str">
        <f>IF(C160="BC",J160*'Mix Design'!$B$6,IF(C160="DBM",J160*'Mix Design'!$C$6,""))</f>
        <v/>
      </c>
      <c r="N160" s="16" t="str">
        <f>IF(C160="BC",J160*'Mix Design'!$B$7,IF(C160="DBM",J160*'Mix Design'!$C$7,""))</f>
        <v/>
      </c>
      <c r="O160" s="16" t="str">
        <f>IF(C160="BC",J160*'Mix Design'!$B$8,IF(C160="DBM",J160*'Mix Design'!$C$8,""))</f>
        <v/>
      </c>
      <c r="P160" s="16" t="str">
        <f>IF(C160="BC",J160*'Mix Design'!$B$9,IF(C160="DBM",J160*'Mix Design'!$C$9,""))</f>
        <v/>
      </c>
      <c r="Q160" s="16" t="e">
        <f>'Job Planner'!P160</f>
        <v>#VALUE!</v>
      </c>
      <c r="R160" s="16" t="e">
        <f>'Job Planner'!Q160</f>
        <v>#VALUE!</v>
      </c>
      <c r="S160" s="16" t="e">
        <f>'Job Planner'!S160</f>
        <v>#VALUE!</v>
      </c>
      <c r="T160" s="16" t="e">
        <f>'Job Planner'!Z160</f>
        <v>#VALUE!</v>
      </c>
      <c r="U160" s="16" t="e">
        <f>'Job Planner'!AB160</f>
        <v>#VALUE!</v>
      </c>
      <c r="V160" s="16">
        <f>'Job Planner'!AE160</f>
        <v>0</v>
      </c>
      <c r="W160" s="16">
        <f>'Job Planner'!AF160</f>
        <v>0</v>
      </c>
      <c r="X160" s="16" t="e">
        <f>'Job Planner'!AG160</f>
        <v>#VALUE!</v>
      </c>
    </row>
    <row r="161" spans="1:24" x14ac:dyDescent="0.2">
      <c r="A161" s="5">
        <f>'Job Planner'!A161</f>
        <v>0</v>
      </c>
      <c r="B161" s="14">
        <f>'Job Planner'!B161</f>
        <v>0</v>
      </c>
      <c r="C161" s="13">
        <f>'Job Planner'!C161</f>
        <v>0</v>
      </c>
      <c r="D161" s="14">
        <f>'Job Planner'!D161</f>
        <v>0</v>
      </c>
      <c r="E161" s="13" t="str">
        <f>IF('Job Planner'!D161="GEOMETRY",'Job Planner'!E161,'Job Planner'!K161)</f>
        <v/>
      </c>
      <c r="F161" s="16">
        <f>'Job Planner'!F161</f>
        <v>0</v>
      </c>
      <c r="G161" s="16">
        <f>'Job Planner'!G161</f>
        <v>0</v>
      </c>
      <c r="H161" s="16" t="str">
        <f>'Job Planner'!I161</f>
        <v/>
      </c>
      <c r="I161" s="16" t="str">
        <f>'Job Planner'!J161</f>
        <v/>
      </c>
      <c r="J161" s="16" t="e">
        <f>'Job Planner'!N161</f>
        <v>#VALUE!</v>
      </c>
      <c r="K161" s="16" t="str">
        <f>IF(C161="BC",J161*'Mix Design'!$B$4,IF(C161="DBM",J161*'Mix Design'!$C$4,""))</f>
        <v/>
      </c>
      <c r="L161" s="16" t="str">
        <f>IF(C161="BC",J161*'Mix Design'!$B$5,IF(C161="DBM",J161*'Mix Design'!$C$5,""))</f>
        <v/>
      </c>
      <c r="M161" s="16" t="str">
        <f>IF(C161="BC",J161*'Mix Design'!$B$6,IF(C161="DBM",J161*'Mix Design'!$C$6,""))</f>
        <v/>
      </c>
      <c r="N161" s="16" t="str">
        <f>IF(C161="BC",J161*'Mix Design'!$B$7,IF(C161="DBM",J161*'Mix Design'!$C$7,""))</f>
        <v/>
      </c>
      <c r="O161" s="16" t="str">
        <f>IF(C161="BC",J161*'Mix Design'!$B$8,IF(C161="DBM",J161*'Mix Design'!$C$8,""))</f>
        <v/>
      </c>
      <c r="P161" s="16" t="str">
        <f>IF(C161="BC",J161*'Mix Design'!$B$9,IF(C161="DBM",J161*'Mix Design'!$C$9,""))</f>
        <v/>
      </c>
      <c r="Q161" s="16" t="e">
        <f>'Job Planner'!P161</f>
        <v>#VALUE!</v>
      </c>
      <c r="R161" s="16" t="e">
        <f>'Job Planner'!Q161</f>
        <v>#VALUE!</v>
      </c>
      <c r="S161" s="16" t="e">
        <f>'Job Planner'!S161</f>
        <v>#VALUE!</v>
      </c>
      <c r="T161" s="16" t="e">
        <f>'Job Planner'!Z161</f>
        <v>#VALUE!</v>
      </c>
      <c r="U161" s="16" t="e">
        <f>'Job Planner'!AB161</f>
        <v>#VALUE!</v>
      </c>
      <c r="V161" s="16">
        <f>'Job Planner'!AE161</f>
        <v>0</v>
      </c>
      <c r="W161" s="16">
        <f>'Job Planner'!AF161</f>
        <v>0</v>
      </c>
      <c r="X161" s="16" t="e">
        <f>'Job Planner'!AG161</f>
        <v>#VALUE!</v>
      </c>
    </row>
    <row r="162" spans="1:24" x14ac:dyDescent="0.2">
      <c r="A162" s="5">
        <f>'Job Planner'!A162</f>
        <v>0</v>
      </c>
      <c r="B162" s="14">
        <f>'Job Planner'!B162</f>
        <v>0</v>
      </c>
      <c r="C162" s="13">
        <f>'Job Planner'!C162</f>
        <v>0</v>
      </c>
      <c r="D162" s="14">
        <f>'Job Planner'!D162</f>
        <v>0</v>
      </c>
      <c r="E162" s="13" t="str">
        <f>IF('Job Planner'!D162="GEOMETRY",'Job Planner'!E162,'Job Planner'!K162)</f>
        <v/>
      </c>
      <c r="F162" s="16">
        <f>'Job Planner'!F162</f>
        <v>0</v>
      </c>
      <c r="G162" s="16">
        <f>'Job Planner'!G162</f>
        <v>0</v>
      </c>
      <c r="H162" s="16" t="str">
        <f>'Job Planner'!I162</f>
        <v/>
      </c>
      <c r="I162" s="16" t="str">
        <f>'Job Planner'!J162</f>
        <v/>
      </c>
      <c r="J162" s="16" t="e">
        <f>'Job Planner'!N162</f>
        <v>#VALUE!</v>
      </c>
      <c r="K162" s="16" t="str">
        <f>IF(C162="BC",J162*'Mix Design'!$B$4,IF(C162="DBM",J162*'Mix Design'!$C$4,""))</f>
        <v/>
      </c>
      <c r="L162" s="16" t="str">
        <f>IF(C162="BC",J162*'Mix Design'!$B$5,IF(C162="DBM",J162*'Mix Design'!$C$5,""))</f>
        <v/>
      </c>
      <c r="M162" s="16" t="str">
        <f>IF(C162="BC",J162*'Mix Design'!$B$6,IF(C162="DBM",J162*'Mix Design'!$C$6,""))</f>
        <v/>
      </c>
      <c r="N162" s="16" t="str">
        <f>IF(C162="BC",J162*'Mix Design'!$B$7,IF(C162="DBM",J162*'Mix Design'!$C$7,""))</f>
        <v/>
      </c>
      <c r="O162" s="16" t="str">
        <f>IF(C162="BC",J162*'Mix Design'!$B$8,IF(C162="DBM",J162*'Mix Design'!$C$8,""))</f>
        <v/>
      </c>
      <c r="P162" s="16" t="str">
        <f>IF(C162="BC",J162*'Mix Design'!$B$9,IF(C162="DBM",J162*'Mix Design'!$C$9,""))</f>
        <v/>
      </c>
      <c r="Q162" s="16" t="e">
        <f>'Job Planner'!P162</f>
        <v>#VALUE!</v>
      </c>
      <c r="R162" s="16" t="e">
        <f>'Job Planner'!Q162</f>
        <v>#VALUE!</v>
      </c>
      <c r="S162" s="16" t="e">
        <f>'Job Planner'!S162</f>
        <v>#VALUE!</v>
      </c>
      <c r="T162" s="16" t="e">
        <f>'Job Planner'!Z162</f>
        <v>#VALUE!</v>
      </c>
      <c r="U162" s="16" t="e">
        <f>'Job Planner'!AB162</f>
        <v>#VALUE!</v>
      </c>
      <c r="V162" s="16">
        <f>'Job Planner'!AE162</f>
        <v>0</v>
      </c>
      <c r="W162" s="16">
        <f>'Job Planner'!AF162</f>
        <v>0</v>
      </c>
      <c r="X162" s="16" t="e">
        <f>'Job Planner'!AG162</f>
        <v>#VALUE!</v>
      </c>
    </row>
    <row r="163" spans="1:24" x14ac:dyDescent="0.2">
      <c r="A163" s="5">
        <f>'Job Planner'!A163</f>
        <v>0</v>
      </c>
      <c r="B163" s="14">
        <f>'Job Planner'!B163</f>
        <v>0</v>
      </c>
      <c r="C163" s="13">
        <f>'Job Planner'!C163</f>
        <v>0</v>
      </c>
      <c r="D163" s="14">
        <f>'Job Planner'!D163</f>
        <v>0</v>
      </c>
      <c r="E163" s="13" t="str">
        <f>IF('Job Planner'!D163="GEOMETRY",'Job Planner'!E163,'Job Planner'!K163)</f>
        <v/>
      </c>
      <c r="F163" s="16">
        <f>'Job Planner'!F163</f>
        <v>0</v>
      </c>
      <c r="G163" s="16">
        <f>'Job Planner'!G163</f>
        <v>0</v>
      </c>
      <c r="H163" s="16" t="str">
        <f>'Job Planner'!I163</f>
        <v/>
      </c>
      <c r="I163" s="16" t="str">
        <f>'Job Planner'!J163</f>
        <v/>
      </c>
      <c r="J163" s="16" t="e">
        <f>'Job Planner'!N163</f>
        <v>#VALUE!</v>
      </c>
      <c r="K163" s="16" t="str">
        <f>IF(C163="BC",J163*'Mix Design'!$B$4,IF(C163="DBM",J163*'Mix Design'!$C$4,""))</f>
        <v/>
      </c>
      <c r="L163" s="16" t="str">
        <f>IF(C163="BC",J163*'Mix Design'!$B$5,IF(C163="DBM",J163*'Mix Design'!$C$5,""))</f>
        <v/>
      </c>
      <c r="M163" s="16" t="str">
        <f>IF(C163="BC",J163*'Mix Design'!$B$6,IF(C163="DBM",J163*'Mix Design'!$C$6,""))</f>
        <v/>
      </c>
      <c r="N163" s="16" t="str">
        <f>IF(C163="BC",J163*'Mix Design'!$B$7,IF(C163="DBM",J163*'Mix Design'!$C$7,""))</f>
        <v/>
      </c>
      <c r="O163" s="16" t="str">
        <f>IF(C163="BC",J163*'Mix Design'!$B$8,IF(C163="DBM",J163*'Mix Design'!$C$8,""))</f>
        <v/>
      </c>
      <c r="P163" s="16" t="str">
        <f>IF(C163="BC",J163*'Mix Design'!$B$9,IF(C163="DBM",J163*'Mix Design'!$C$9,""))</f>
        <v/>
      </c>
      <c r="Q163" s="16" t="e">
        <f>'Job Planner'!P163</f>
        <v>#VALUE!</v>
      </c>
      <c r="R163" s="16" t="e">
        <f>'Job Planner'!Q163</f>
        <v>#VALUE!</v>
      </c>
      <c r="S163" s="16" t="e">
        <f>'Job Planner'!S163</f>
        <v>#VALUE!</v>
      </c>
      <c r="T163" s="16" t="e">
        <f>'Job Planner'!Z163</f>
        <v>#VALUE!</v>
      </c>
      <c r="U163" s="16" t="e">
        <f>'Job Planner'!AB163</f>
        <v>#VALUE!</v>
      </c>
      <c r="V163" s="16">
        <f>'Job Planner'!AE163</f>
        <v>0</v>
      </c>
      <c r="W163" s="16">
        <f>'Job Planner'!AF163</f>
        <v>0</v>
      </c>
      <c r="X163" s="16" t="e">
        <f>'Job Planner'!AG163</f>
        <v>#VALUE!</v>
      </c>
    </row>
    <row r="164" spans="1:24" x14ac:dyDescent="0.2">
      <c r="A164" s="5">
        <f>'Job Planner'!A164</f>
        <v>0</v>
      </c>
      <c r="B164" s="14">
        <f>'Job Planner'!B164</f>
        <v>0</v>
      </c>
      <c r="C164" s="13">
        <f>'Job Planner'!C164</f>
        <v>0</v>
      </c>
      <c r="D164" s="14">
        <f>'Job Planner'!D164</f>
        <v>0</v>
      </c>
      <c r="E164" s="13" t="str">
        <f>IF('Job Planner'!D164="GEOMETRY",'Job Planner'!E164,'Job Planner'!K164)</f>
        <v/>
      </c>
      <c r="F164" s="16">
        <f>'Job Planner'!F164</f>
        <v>0</v>
      </c>
      <c r="G164" s="16">
        <f>'Job Planner'!G164</f>
        <v>0</v>
      </c>
      <c r="H164" s="16" t="str">
        <f>'Job Planner'!I164</f>
        <v/>
      </c>
      <c r="I164" s="16" t="str">
        <f>'Job Planner'!J164</f>
        <v/>
      </c>
      <c r="J164" s="16" t="e">
        <f>'Job Planner'!N164</f>
        <v>#VALUE!</v>
      </c>
      <c r="K164" s="16" t="str">
        <f>IF(C164="BC",J164*'Mix Design'!$B$4,IF(C164="DBM",J164*'Mix Design'!$C$4,""))</f>
        <v/>
      </c>
      <c r="L164" s="16" t="str">
        <f>IF(C164="BC",J164*'Mix Design'!$B$5,IF(C164="DBM",J164*'Mix Design'!$C$5,""))</f>
        <v/>
      </c>
      <c r="M164" s="16" t="str">
        <f>IF(C164="BC",J164*'Mix Design'!$B$6,IF(C164="DBM",J164*'Mix Design'!$C$6,""))</f>
        <v/>
      </c>
      <c r="N164" s="16" t="str">
        <f>IF(C164="BC",J164*'Mix Design'!$B$7,IF(C164="DBM",J164*'Mix Design'!$C$7,""))</f>
        <v/>
      </c>
      <c r="O164" s="16" t="str">
        <f>IF(C164="BC",J164*'Mix Design'!$B$8,IF(C164="DBM",J164*'Mix Design'!$C$8,""))</f>
        <v/>
      </c>
      <c r="P164" s="16" t="str">
        <f>IF(C164="BC",J164*'Mix Design'!$B$9,IF(C164="DBM",J164*'Mix Design'!$C$9,""))</f>
        <v/>
      </c>
      <c r="Q164" s="16" t="e">
        <f>'Job Planner'!P164</f>
        <v>#VALUE!</v>
      </c>
      <c r="R164" s="16" t="e">
        <f>'Job Planner'!Q164</f>
        <v>#VALUE!</v>
      </c>
      <c r="S164" s="16" t="e">
        <f>'Job Planner'!S164</f>
        <v>#VALUE!</v>
      </c>
      <c r="T164" s="16" t="e">
        <f>'Job Planner'!Z164</f>
        <v>#VALUE!</v>
      </c>
      <c r="U164" s="16" t="e">
        <f>'Job Planner'!AB164</f>
        <v>#VALUE!</v>
      </c>
      <c r="V164" s="16">
        <f>'Job Planner'!AE164</f>
        <v>0</v>
      </c>
      <c r="W164" s="16">
        <f>'Job Planner'!AF164</f>
        <v>0</v>
      </c>
      <c r="X164" s="16" t="e">
        <f>'Job Planner'!AG164</f>
        <v>#VALUE!</v>
      </c>
    </row>
    <row r="165" spans="1:24" x14ac:dyDescent="0.2">
      <c r="A165" s="5">
        <f>'Job Planner'!A165</f>
        <v>0</v>
      </c>
      <c r="B165" s="14">
        <f>'Job Planner'!B165</f>
        <v>0</v>
      </c>
      <c r="C165" s="13">
        <f>'Job Planner'!C165</f>
        <v>0</v>
      </c>
      <c r="D165" s="14">
        <f>'Job Planner'!D165</f>
        <v>0</v>
      </c>
      <c r="E165" s="13" t="str">
        <f>IF('Job Planner'!D165="GEOMETRY",'Job Planner'!E165,'Job Planner'!K165)</f>
        <v/>
      </c>
      <c r="F165" s="16">
        <f>'Job Planner'!F165</f>
        <v>0</v>
      </c>
      <c r="G165" s="16">
        <f>'Job Planner'!G165</f>
        <v>0</v>
      </c>
      <c r="H165" s="16" t="str">
        <f>'Job Planner'!I165</f>
        <v/>
      </c>
      <c r="I165" s="16" t="str">
        <f>'Job Planner'!J165</f>
        <v/>
      </c>
      <c r="J165" s="16" t="e">
        <f>'Job Planner'!N165</f>
        <v>#VALUE!</v>
      </c>
      <c r="K165" s="16" t="str">
        <f>IF(C165="BC",J165*'Mix Design'!$B$4,IF(C165="DBM",J165*'Mix Design'!$C$4,""))</f>
        <v/>
      </c>
      <c r="L165" s="16" t="str">
        <f>IF(C165="BC",J165*'Mix Design'!$B$5,IF(C165="DBM",J165*'Mix Design'!$C$5,""))</f>
        <v/>
      </c>
      <c r="M165" s="16" t="str">
        <f>IF(C165="BC",J165*'Mix Design'!$B$6,IF(C165="DBM",J165*'Mix Design'!$C$6,""))</f>
        <v/>
      </c>
      <c r="N165" s="16" t="str">
        <f>IF(C165="BC",J165*'Mix Design'!$B$7,IF(C165="DBM",J165*'Mix Design'!$C$7,""))</f>
        <v/>
      </c>
      <c r="O165" s="16" t="str">
        <f>IF(C165="BC",J165*'Mix Design'!$B$8,IF(C165="DBM",J165*'Mix Design'!$C$8,""))</f>
        <v/>
      </c>
      <c r="P165" s="16" t="str">
        <f>IF(C165="BC",J165*'Mix Design'!$B$9,IF(C165="DBM",J165*'Mix Design'!$C$9,""))</f>
        <v/>
      </c>
      <c r="Q165" s="16" t="e">
        <f>'Job Planner'!P165</f>
        <v>#VALUE!</v>
      </c>
      <c r="R165" s="16" t="e">
        <f>'Job Planner'!Q165</f>
        <v>#VALUE!</v>
      </c>
      <c r="S165" s="16" t="e">
        <f>'Job Planner'!S165</f>
        <v>#VALUE!</v>
      </c>
      <c r="T165" s="16" t="e">
        <f>'Job Planner'!Z165</f>
        <v>#VALUE!</v>
      </c>
      <c r="U165" s="16" t="e">
        <f>'Job Planner'!AB165</f>
        <v>#VALUE!</v>
      </c>
      <c r="V165" s="16">
        <f>'Job Planner'!AE165</f>
        <v>0</v>
      </c>
      <c r="W165" s="16">
        <f>'Job Planner'!AF165</f>
        <v>0</v>
      </c>
      <c r="X165" s="16" t="e">
        <f>'Job Planner'!AG165</f>
        <v>#VALUE!</v>
      </c>
    </row>
    <row r="166" spans="1:24" x14ac:dyDescent="0.2">
      <c r="A166" s="5">
        <f>'Job Planner'!A166</f>
        <v>0</v>
      </c>
      <c r="B166" s="14">
        <f>'Job Planner'!B166</f>
        <v>0</v>
      </c>
      <c r="C166" s="13">
        <f>'Job Planner'!C166</f>
        <v>0</v>
      </c>
      <c r="D166" s="14">
        <f>'Job Planner'!D166</f>
        <v>0</v>
      </c>
      <c r="E166" s="13" t="str">
        <f>IF('Job Planner'!D166="GEOMETRY",'Job Planner'!E166,'Job Planner'!K166)</f>
        <v/>
      </c>
      <c r="F166" s="16">
        <f>'Job Planner'!F166</f>
        <v>0</v>
      </c>
      <c r="G166" s="16">
        <f>'Job Planner'!G166</f>
        <v>0</v>
      </c>
      <c r="H166" s="16" t="str">
        <f>'Job Planner'!I166</f>
        <v/>
      </c>
      <c r="I166" s="16" t="str">
        <f>'Job Planner'!J166</f>
        <v/>
      </c>
      <c r="J166" s="16" t="e">
        <f>'Job Planner'!N166</f>
        <v>#VALUE!</v>
      </c>
      <c r="K166" s="16" t="str">
        <f>IF(C166="BC",J166*'Mix Design'!$B$4,IF(C166="DBM",J166*'Mix Design'!$C$4,""))</f>
        <v/>
      </c>
      <c r="L166" s="16" t="str">
        <f>IF(C166="BC",J166*'Mix Design'!$B$5,IF(C166="DBM",J166*'Mix Design'!$C$5,""))</f>
        <v/>
      </c>
      <c r="M166" s="16" t="str">
        <f>IF(C166="BC",J166*'Mix Design'!$B$6,IF(C166="DBM",J166*'Mix Design'!$C$6,""))</f>
        <v/>
      </c>
      <c r="N166" s="16" t="str">
        <f>IF(C166="BC",J166*'Mix Design'!$B$7,IF(C166="DBM",J166*'Mix Design'!$C$7,""))</f>
        <v/>
      </c>
      <c r="O166" s="16" t="str">
        <f>IF(C166="BC",J166*'Mix Design'!$B$8,IF(C166="DBM",J166*'Mix Design'!$C$8,""))</f>
        <v/>
      </c>
      <c r="P166" s="16" t="str">
        <f>IF(C166="BC",J166*'Mix Design'!$B$9,IF(C166="DBM",J166*'Mix Design'!$C$9,""))</f>
        <v/>
      </c>
      <c r="Q166" s="16" t="e">
        <f>'Job Planner'!P166</f>
        <v>#VALUE!</v>
      </c>
      <c r="R166" s="16" t="e">
        <f>'Job Planner'!Q166</f>
        <v>#VALUE!</v>
      </c>
      <c r="S166" s="16" t="e">
        <f>'Job Planner'!S166</f>
        <v>#VALUE!</v>
      </c>
      <c r="T166" s="16" t="e">
        <f>'Job Planner'!Z166</f>
        <v>#VALUE!</v>
      </c>
      <c r="U166" s="16" t="e">
        <f>'Job Planner'!AB166</f>
        <v>#VALUE!</v>
      </c>
      <c r="V166" s="16">
        <f>'Job Planner'!AE166</f>
        <v>0</v>
      </c>
      <c r="W166" s="16">
        <f>'Job Planner'!AF166</f>
        <v>0</v>
      </c>
      <c r="X166" s="16" t="e">
        <f>'Job Planner'!AG166</f>
        <v>#VALUE!</v>
      </c>
    </row>
    <row r="167" spans="1:24" x14ac:dyDescent="0.2">
      <c r="A167" s="5">
        <f>'Job Planner'!A167</f>
        <v>0</v>
      </c>
      <c r="B167" s="14">
        <f>'Job Planner'!B167</f>
        <v>0</v>
      </c>
      <c r="C167" s="13">
        <f>'Job Planner'!C167</f>
        <v>0</v>
      </c>
      <c r="D167" s="14">
        <f>'Job Planner'!D167</f>
        <v>0</v>
      </c>
      <c r="E167" s="13" t="str">
        <f>IF('Job Planner'!D167="GEOMETRY",'Job Planner'!E167,'Job Planner'!K167)</f>
        <v/>
      </c>
      <c r="F167" s="16">
        <f>'Job Planner'!F167</f>
        <v>0</v>
      </c>
      <c r="G167" s="16">
        <f>'Job Planner'!G167</f>
        <v>0</v>
      </c>
      <c r="H167" s="16" t="str">
        <f>'Job Planner'!I167</f>
        <v/>
      </c>
      <c r="I167" s="16" t="str">
        <f>'Job Planner'!J167</f>
        <v/>
      </c>
      <c r="J167" s="16" t="e">
        <f>'Job Planner'!N167</f>
        <v>#VALUE!</v>
      </c>
      <c r="K167" s="16" t="str">
        <f>IF(C167="BC",J167*'Mix Design'!$B$4,IF(C167="DBM",J167*'Mix Design'!$C$4,""))</f>
        <v/>
      </c>
      <c r="L167" s="16" t="str">
        <f>IF(C167="BC",J167*'Mix Design'!$B$5,IF(C167="DBM",J167*'Mix Design'!$C$5,""))</f>
        <v/>
      </c>
      <c r="M167" s="16" t="str">
        <f>IF(C167="BC",J167*'Mix Design'!$B$6,IF(C167="DBM",J167*'Mix Design'!$C$6,""))</f>
        <v/>
      </c>
      <c r="N167" s="16" t="str">
        <f>IF(C167="BC",J167*'Mix Design'!$B$7,IF(C167="DBM",J167*'Mix Design'!$C$7,""))</f>
        <v/>
      </c>
      <c r="O167" s="16" t="str">
        <f>IF(C167="BC",J167*'Mix Design'!$B$8,IF(C167="DBM",J167*'Mix Design'!$C$8,""))</f>
        <v/>
      </c>
      <c r="P167" s="16" t="str">
        <f>IF(C167="BC",J167*'Mix Design'!$B$9,IF(C167="DBM",J167*'Mix Design'!$C$9,""))</f>
        <v/>
      </c>
      <c r="Q167" s="16" t="e">
        <f>'Job Planner'!P167</f>
        <v>#VALUE!</v>
      </c>
      <c r="R167" s="16" t="e">
        <f>'Job Planner'!Q167</f>
        <v>#VALUE!</v>
      </c>
      <c r="S167" s="16" t="e">
        <f>'Job Planner'!S167</f>
        <v>#VALUE!</v>
      </c>
      <c r="T167" s="16" t="e">
        <f>'Job Planner'!Z167</f>
        <v>#VALUE!</v>
      </c>
      <c r="U167" s="16" t="e">
        <f>'Job Planner'!AB167</f>
        <v>#VALUE!</v>
      </c>
      <c r="V167" s="16">
        <f>'Job Planner'!AE167</f>
        <v>0</v>
      </c>
      <c r="W167" s="16">
        <f>'Job Planner'!AF167</f>
        <v>0</v>
      </c>
      <c r="X167" s="16" t="e">
        <f>'Job Planner'!AG167</f>
        <v>#VALUE!</v>
      </c>
    </row>
    <row r="168" spans="1:24" x14ac:dyDescent="0.2">
      <c r="A168" s="5">
        <f>'Job Planner'!A168</f>
        <v>0</v>
      </c>
      <c r="B168" s="14">
        <f>'Job Planner'!B168</f>
        <v>0</v>
      </c>
      <c r="C168" s="13">
        <f>'Job Planner'!C168</f>
        <v>0</v>
      </c>
      <c r="D168" s="14">
        <f>'Job Planner'!D168</f>
        <v>0</v>
      </c>
      <c r="E168" s="13" t="str">
        <f>IF('Job Planner'!D168="GEOMETRY",'Job Planner'!E168,'Job Planner'!K168)</f>
        <v/>
      </c>
      <c r="F168" s="16">
        <f>'Job Planner'!F168</f>
        <v>0</v>
      </c>
      <c r="G168" s="16">
        <f>'Job Planner'!G168</f>
        <v>0</v>
      </c>
      <c r="H168" s="16" t="str">
        <f>'Job Planner'!I168</f>
        <v/>
      </c>
      <c r="I168" s="16" t="str">
        <f>'Job Planner'!J168</f>
        <v/>
      </c>
      <c r="J168" s="16" t="e">
        <f>'Job Planner'!N168</f>
        <v>#VALUE!</v>
      </c>
      <c r="K168" s="16" t="str">
        <f>IF(C168="BC",J168*'Mix Design'!$B$4,IF(C168="DBM",J168*'Mix Design'!$C$4,""))</f>
        <v/>
      </c>
      <c r="L168" s="16" t="str">
        <f>IF(C168="BC",J168*'Mix Design'!$B$5,IF(C168="DBM",J168*'Mix Design'!$C$5,""))</f>
        <v/>
      </c>
      <c r="M168" s="16" t="str">
        <f>IF(C168="BC",J168*'Mix Design'!$B$6,IF(C168="DBM",J168*'Mix Design'!$C$6,""))</f>
        <v/>
      </c>
      <c r="N168" s="16" t="str">
        <f>IF(C168="BC",J168*'Mix Design'!$B$7,IF(C168="DBM",J168*'Mix Design'!$C$7,""))</f>
        <v/>
      </c>
      <c r="O168" s="16" t="str">
        <f>IF(C168="BC",J168*'Mix Design'!$B$8,IF(C168="DBM",J168*'Mix Design'!$C$8,""))</f>
        <v/>
      </c>
      <c r="P168" s="16" t="str">
        <f>IF(C168="BC",J168*'Mix Design'!$B$9,IF(C168="DBM",J168*'Mix Design'!$C$9,""))</f>
        <v/>
      </c>
      <c r="Q168" s="16" t="e">
        <f>'Job Planner'!P168</f>
        <v>#VALUE!</v>
      </c>
      <c r="R168" s="16" t="e">
        <f>'Job Planner'!Q168</f>
        <v>#VALUE!</v>
      </c>
      <c r="S168" s="16" t="e">
        <f>'Job Planner'!S168</f>
        <v>#VALUE!</v>
      </c>
      <c r="T168" s="16" t="e">
        <f>'Job Planner'!Z168</f>
        <v>#VALUE!</v>
      </c>
      <c r="U168" s="16" t="e">
        <f>'Job Planner'!AB168</f>
        <v>#VALUE!</v>
      </c>
      <c r="V168" s="16">
        <f>'Job Planner'!AE168</f>
        <v>0</v>
      </c>
      <c r="W168" s="16">
        <f>'Job Planner'!AF168</f>
        <v>0</v>
      </c>
      <c r="X168" s="16" t="e">
        <f>'Job Planner'!AG168</f>
        <v>#VALUE!</v>
      </c>
    </row>
    <row r="169" spans="1:24" x14ac:dyDescent="0.2">
      <c r="A169" s="5">
        <f>'Job Planner'!A169</f>
        <v>0</v>
      </c>
      <c r="B169" s="14">
        <f>'Job Planner'!B169</f>
        <v>0</v>
      </c>
      <c r="C169" s="13">
        <f>'Job Planner'!C169</f>
        <v>0</v>
      </c>
      <c r="D169" s="14">
        <f>'Job Planner'!D169</f>
        <v>0</v>
      </c>
      <c r="E169" s="13" t="str">
        <f>IF('Job Planner'!D169="GEOMETRY",'Job Planner'!E169,'Job Planner'!K169)</f>
        <v/>
      </c>
      <c r="F169" s="16">
        <f>'Job Planner'!F169</f>
        <v>0</v>
      </c>
      <c r="G169" s="16">
        <f>'Job Planner'!G169</f>
        <v>0</v>
      </c>
      <c r="H169" s="16" t="str">
        <f>'Job Planner'!I169</f>
        <v/>
      </c>
      <c r="I169" s="16" t="str">
        <f>'Job Planner'!J169</f>
        <v/>
      </c>
      <c r="J169" s="16" t="e">
        <f>'Job Planner'!N169</f>
        <v>#VALUE!</v>
      </c>
      <c r="K169" s="16" t="str">
        <f>IF(C169="BC",J169*'Mix Design'!$B$4,IF(C169="DBM",J169*'Mix Design'!$C$4,""))</f>
        <v/>
      </c>
      <c r="L169" s="16" t="str">
        <f>IF(C169="BC",J169*'Mix Design'!$B$5,IF(C169="DBM",J169*'Mix Design'!$C$5,""))</f>
        <v/>
      </c>
      <c r="M169" s="16" t="str">
        <f>IF(C169="BC",J169*'Mix Design'!$B$6,IF(C169="DBM",J169*'Mix Design'!$C$6,""))</f>
        <v/>
      </c>
      <c r="N169" s="16" t="str">
        <f>IF(C169="BC",J169*'Mix Design'!$B$7,IF(C169="DBM",J169*'Mix Design'!$C$7,""))</f>
        <v/>
      </c>
      <c r="O169" s="16" t="str">
        <f>IF(C169="BC",J169*'Mix Design'!$B$8,IF(C169="DBM",J169*'Mix Design'!$C$8,""))</f>
        <v/>
      </c>
      <c r="P169" s="16" t="str">
        <f>IF(C169="BC",J169*'Mix Design'!$B$9,IF(C169="DBM",J169*'Mix Design'!$C$9,""))</f>
        <v/>
      </c>
      <c r="Q169" s="16" t="e">
        <f>'Job Planner'!P169</f>
        <v>#VALUE!</v>
      </c>
      <c r="R169" s="16" t="e">
        <f>'Job Planner'!Q169</f>
        <v>#VALUE!</v>
      </c>
      <c r="S169" s="16" t="e">
        <f>'Job Planner'!S169</f>
        <v>#VALUE!</v>
      </c>
      <c r="T169" s="16" t="e">
        <f>'Job Planner'!Z169</f>
        <v>#VALUE!</v>
      </c>
      <c r="U169" s="16" t="e">
        <f>'Job Planner'!AB169</f>
        <v>#VALUE!</v>
      </c>
      <c r="V169" s="16">
        <f>'Job Planner'!AE169</f>
        <v>0</v>
      </c>
      <c r="W169" s="16">
        <f>'Job Planner'!AF169</f>
        <v>0</v>
      </c>
      <c r="X169" s="16" t="e">
        <f>'Job Planner'!AG169</f>
        <v>#VALUE!</v>
      </c>
    </row>
    <row r="170" spans="1:24" x14ac:dyDescent="0.2">
      <c r="A170" s="5">
        <f>'Job Planner'!A170</f>
        <v>0</v>
      </c>
      <c r="B170" s="14">
        <f>'Job Planner'!B170</f>
        <v>0</v>
      </c>
      <c r="C170" s="13">
        <f>'Job Planner'!C170</f>
        <v>0</v>
      </c>
      <c r="D170" s="14">
        <f>'Job Planner'!D170</f>
        <v>0</v>
      </c>
      <c r="E170" s="13" t="str">
        <f>IF('Job Planner'!D170="GEOMETRY",'Job Planner'!E170,'Job Planner'!K170)</f>
        <v/>
      </c>
      <c r="F170" s="16">
        <f>'Job Planner'!F170</f>
        <v>0</v>
      </c>
      <c r="G170" s="16">
        <f>'Job Planner'!G170</f>
        <v>0</v>
      </c>
      <c r="H170" s="16" t="str">
        <f>'Job Planner'!I170</f>
        <v/>
      </c>
      <c r="I170" s="16" t="str">
        <f>'Job Planner'!J170</f>
        <v/>
      </c>
      <c r="J170" s="16" t="e">
        <f>'Job Planner'!N170</f>
        <v>#VALUE!</v>
      </c>
      <c r="K170" s="16" t="str">
        <f>IF(C170="BC",J170*'Mix Design'!$B$4,IF(C170="DBM",J170*'Mix Design'!$C$4,""))</f>
        <v/>
      </c>
      <c r="L170" s="16" t="str">
        <f>IF(C170="BC",J170*'Mix Design'!$B$5,IF(C170="DBM",J170*'Mix Design'!$C$5,""))</f>
        <v/>
      </c>
      <c r="M170" s="16" t="str">
        <f>IF(C170="BC",J170*'Mix Design'!$B$6,IF(C170="DBM",J170*'Mix Design'!$C$6,""))</f>
        <v/>
      </c>
      <c r="N170" s="16" t="str">
        <f>IF(C170="BC",J170*'Mix Design'!$B$7,IF(C170="DBM",J170*'Mix Design'!$C$7,""))</f>
        <v/>
      </c>
      <c r="O170" s="16" t="str">
        <f>IF(C170="BC",J170*'Mix Design'!$B$8,IF(C170="DBM",J170*'Mix Design'!$C$8,""))</f>
        <v/>
      </c>
      <c r="P170" s="16" t="str">
        <f>IF(C170="BC",J170*'Mix Design'!$B$9,IF(C170="DBM",J170*'Mix Design'!$C$9,""))</f>
        <v/>
      </c>
      <c r="Q170" s="16" t="e">
        <f>'Job Planner'!P170</f>
        <v>#VALUE!</v>
      </c>
      <c r="R170" s="16" t="e">
        <f>'Job Planner'!Q170</f>
        <v>#VALUE!</v>
      </c>
      <c r="S170" s="16" t="e">
        <f>'Job Planner'!S170</f>
        <v>#VALUE!</v>
      </c>
      <c r="T170" s="16" t="e">
        <f>'Job Planner'!Z170</f>
        <v>#VALUE!</v>
      </c>
      <c r="U170" s="16" t="e">
        <f>'Job Planner'!AB170</f>
        <v>#VALUE!</v>
      </c>
      <c r="V170" s="16">
        <f>'Job Planner'!AE170</f>
        <v>0</v>
      </c>
      <c r="W170" s="16">
        <f>'Job Planner'!AF170</f>
        <v>0</v>
      </c>
      <c r="X170" s="16" t="e">
        <f>'Job Planner'!AG170</f>
        <v>#VALUE!</v>
      </c>
    </row>
    <row r="171" spans="1:24" x14ac:dyDescent="0.2">
      <c r="A171" s="5">
        <f>'Job Planner'!A171</f>
        <v>0</v>
      </c>
      <c r="B171" s="14">
        <f>'Job Planner'!B171</f>
        <v>0</v>
      </c>
      <c r="C171" s="13">
        <f>'Job Planner'!C171</f>
        <v>0</v>
      </c>
      <c r="D171" s="14">
        <f>'Job Planner'!D171</f>
        <v>0</v>
      </c>
      <c r="E171" s="13" t="str">
        <f>IF('Job Planner'!D171="GEOMETRY",'Job Planner'!E171,'Job Planner'!K171)</f>
        <v/>
      </c>
      <c r="F171" s="16">
        <f>'Job Planner'!F171</f>
        <v>0</v>
      </c>
      <c r="G171" s="16">
        <f>'Job Planner'!G171</f>
        <v>0</v>
      </c>
      <c r="H171" s="16" t="str">
        <f>'Job Planner'!I171</f>
        <v/>
      </c>
      <c r="I171" s="16" t="str">
        <f>'Job Planner'!J171</f>
        <v/>
      </c>
      <c r="J171" s="16" t="e">
        <f>'Job Planner'!N171</f>
        <v>#VALUE!</v>
      </c>
      <c r="K171" s="16" t="str">
        <f>IF(C171="BC",J171*'Mix Design'!$B$4,IF(C171="DBM",J171*'Mix Design'!$C$4,""))</f>
        <v/>
      </c>
      <c r="L171" s="16" t="str">
        <f>IF(C171="BC",J171*'Mix Design'!$B$5,IF(C171="DBM",J171*'Mix Design'!$C$5,""))</f>
        <v/>
      </c>
      <c r="M171" s="16" t="str">
        <f>IF(C171="BC",J171*'Mix Design'!$B$6,IF(C171="DBM",J171*'Mix Design'!$C$6,""))</f>
        <v/>
      </c>
      <c r="N171" s="16" t="str">
        <f>IF(C171="BC",J171*'Mix Design'!$B$7,IF(C171="DBM",J171*'Mix Design'!$C$7,""))</f>
        <v/>
      </c>
      <c r="O171" s="16" t="str">
        <f>IF(C171="BC",J171*'Mix Design'!$B$8,IF(C171="DBM",J171*'Mix Design'!$C$8,""))</f>
        <v/>
      </c>
      <c r="P171" s="16" t="str">
        <f>IF(C171="BC",J171*'Mix Design'!$B$9,IF(C171="DBM",J171*'Mix Design'!$C$9,""))</f>
        <v/>
      </c>
      <c r="Q171" s="16" t="e">
        <f>'Job Planner'!P171</f>
        <v>#VALUE!</v>
      </c>
      <c r="R171" s="16" t="e">
        <f>'Job Planner'!Q171</f>
        <v>#VALUE!</v>
      </c>
      <c r="S171" s="16" t="e">
        <f>'Job Planner'!S171</f>
        <v>#VALUE!</v>
      </c>
      <c r="T171" s="16" t="e">
        <f>'Job Planner'!Z171</f>
        <v>#VALUE!</v>
      </c>
      <c r="U171" s="16" t="e">
        <f>'Job Planner'!AB171</f>
        <v>#VALUE!</v>
      </c>
      <c r="V171" s="16">
        <f>'Job Planner'!AE171</f>
        <v>0</v>
      </c>
      <c r="W171" s="16">
        <f>'Job Planner'!AF171</f>
        <v>0</v>
      </c>
      <c r="X171" s="16" t="e">
        <f>'Job Planner'!AG171</f>
        <v>#VALUE!</v>
      </c>
    </row>
    <row r="172" spans="1:24" x14ac:dyDescent="0.2">
      <c r="A172" s="5">
        <f>'Job Planner'!A172</f>
        <v>0</v>
      </c>
      <c r="B172" s="14">
        <f>'Job Planner'!B172</f>
        <v>0</v>
      </c>
      <c r="C172" s="13">
        <f>'Job Planner'!C172</f>
        <v>0</v>
      </c>
      <c r="D172" s="14">
        <f>'Job Planner'!D172</f>
        <v>0</v>
      </c>
      <c r="E172" s="13" t="str">
        <f>IF('Job Planner'!D172="GEOMETRY",'Job Planner'!E172,'Job Planner'!K172)</f>
        <v/>
      </c>
      <c r="F172" s="16">
        <f>'Job Planner'!F172</f>
        <v>0</v>
      </c>
      <c r="G172" s="16">
        <f>'Job Planner'!G172</f>
        <v>0</v>
      </c>
      <c r="H172" s="16" t="str">
        <f>'Job Planner'!I172</f>
        <v/>
      </c>
      <c r="I172" s="16" t="str">
        <f>'Job Planner'!J172</f>
        <v/>
      </c>
      <c r="J172" s="16" t="e">
        <f>'Job Planner'!N172</f>
        <v>#VALUE!</v>
      </c>
      <c r="K172" s="16" t="str">
        <f>IF(C172="BC",J172*'Mix Design'!$B$4,IF(C172="DBM",J172*'Mix Design'!$C$4,""))</f>
        <v/>
      </c>
      <c r="L172" s="16" t="str">
        <f>IF(C172="BC",J172*'Mix Design'!$B$5,IF(C172="DBM",J172*'Mix Design'!$C$5,""))</f>
        <v/>
      </c>
      <c r="M172" s="16" t="str">
        <f>IF(C172="BC",J172*'Mix Design'!$B$6,IF(C172="DBM",J172*'Mix Design'!$C$6,""))</f>
        <v/>
      </c>
      <c r="N172" s="16" t="str">
        <f>IF(C172="BC",J172*'Mix Design'!$B$7,IF(C172="DBM",J172*'Mix Design'!$C$7,""))</f>
        <v/>
      </c>
      <c r="O172" s="16" t="str">
        <f>IF(C172="BC",J172*'Mix Design'!$B$8,IF(C172="DBM",J172*'Mix Design'!$C$8,""))</f>
        <v/>
      </c>
      <c r="P172" s="16" t="str">
        <f>IF(C172="BC",J172*'Mix Design'!$B$9,IF(C172="DBM",J172*'Mix Design'!$C$9,""))</f>
        <v/>
      </c>
      <c r="Q172" s="16" t="e">
        <f>'Job Planner'!P172</f>
        <v>#VALUE!</v>
      </c>
      <c r="R172" s="16" t="e">
        <f>'Job Planner'!Q172</f>
        <v>#VALUE!</v>
      </c>
      <c r="S172" s="16" t="e">
        <f>'Job Planner'!S172</f>
        <v>#VALUE!</v>
      </c>
      <c r="T172" s="16" t="e">
        <f>'Job Planner'!Z172</f>
        <v>#VALUE!</v>
      </c>
      <c r="U172" s="16" t="e">
        <f>'Job Planner'!AB172</f>
        <v>#VALUE!</v>
      </c>
      <c r="V172" s="16">
        <f>'Job Planner'!AE172</f>
        <v>0</v>
      </c>
      <c r="W172" s="16">
        <f>'Job Planner'!AF172</f>
        <v>0</v>
      </c>
      <c r="X172" s="16" t="e">
        <f>'Job Planner'!AG172</f>
        <v>#VALUE!</v>
      </c>
    </row>
    <row r="173" spans="1:24" x14ac:dyDescent="0.2">
      <c r="A173" s="5">
        <f>'Job Planner'!A173</f>
        <v>0</v>
      </c>
      <c r="B173" s="14">
        <f>'Job Planner'!B173</f>
        <v>0</v>
      </c>
      <c r="C173" s="13">
        <f>'Job Planner'!C173</f>
        <v>0</v>
      </c>
      <c r="D173" s="14">
        <f>'Job Planner'!D173</f>
        <v>0</v>
      </c>
      <c r="E173" s="13" t="str">
        <f>IF('Job Planner'!D173="GEOMETRY",'Job Planner'!E173,'Job Planner'!K173)</f>
        <v/>
      </c>
      <c r="F173" s="16">
        <f>'Job Planner'!F173</f>
        <v>0</v>
      </c>
      <c r="G173" s="16">
        <f>'Job Planner'!G173</f>
        <v>0</v>
      </c>
      <c r="H173" s="16" t="str">
        <f>'Job Planner'!I173</f>
        <v/>
      </c>
      <c r="I173" s="16" t="str">
        <f>'Job Planner'!J173</f>
        <v/>
      </c>
      <c r="J173" s="16" t="e">
        <f>'Job Planner'!N173</f>
        <v>#VALUE!</v>
      </c>
      <c r="K173" s="16" t="str">
        <f>IF(C173="BC",J173*'Mix Design'!$B$4,IF(C173="DBM",J173*'Mix Design'!$C$4,""))</f>
        <v/>
      </c>
      <c r="L173" s="16" t="str">
        <f>IF(C173="BC",J173*'Mix Design'!$B$5,IF(C173="DBM",J173*'Mix Design'!$C$5,""))</f>
        <v/>
      </c>
      <c r="M173" s="16" t="str">
        <f>IF(C173="BC",J173*'Mix Design'!$B$6,IF(C173="DBM",J173*'Mix Design'!$C$6,""))</f>
        <v/>
      </c>
      <c r="N173" s="16" t="str">
        <f>IF(C173="BC",J173*'Mix Design'!$B$7,IF(C173="DBM",J173*'Mix Design'!$C$7,""))</f>
        <v/>
      </c>
      <c r="O173" s="16" t="str">
        <f>IF(C173="BC",J173*'Mix Design'!$B$8,IF(C173="DBM",J173*'Mix Design'!$C$8,""))</f>
        <v/>
      </c>
      <c r="P173" s="16" t="str">
        <f>IF(C173="BC",J173*'Mix Design'!$B$9,IF(C173="DBM",J173*'Mix Design'!$C$9,""))</f>
        <v/>
      </c>
      <c r="Q173" s="16" t="e">
        <f>'Job Planner'!P173</f>
        <v>#VALUE!</v>
      </c>
      <c r="R173" s="16" t="e">
        <f>'Job Planner'!Q173</f>
        <v>#VALUE!</v>
      </c>
      <c r="S173" s="16" t="e">
        <f>'Job Planner'!S173</f>
        <v>#VALUE!</v>
      </c>
      <c r="T173" s="16" t="e">
        <f>'Job Planner'!Z173</f>
        <v>#VALUE!</v>
      </c>
      <c r="U173" s="16" t="e">
        <f>'Job Planner'!AB173</f>
        <v>#VALUE!</v>
      </c>
      <c r="V173" s="16">
        <f>'Job Planner'!AE173</f>
        <v>0</v>
      </c>
      <c r="W173" s="16">
        <f>'Job Planner'!AF173</f>
        <v>0</v>
      </c>
      <c r="X173" s="16" t="e">
        <f>'Job Planner'!AG173</f>
        <v>#VALUE!</v>
      </c>
    </row>
    <row r="174" spans="1:24" x14ac:dyDescent="0.2">
      <c r="A174" s="5">
        <f>'Job Planner'!A174</f>
        <v>0</v>
      </c>
      <c r="B174" s="14">
        <f>'Job Planner'!B174</f>
        <v>0</v>
      </c>
      <c r="C174" s="13">
        <f>'Job Planner'!C174</f>
        <v>0</v>
      </c>
      <c r="D174" s="14">
        <f>'Job Planner'!D174</f>
        <v>0</v>
      </c>
      <c r="E174" s="13" t="str">
        <f>IF('Job Planner'!D174="GEOMETRY",'Job Planner'!E174,'Job Planner'!K174)</f>
        <v/>
      </c>
      <c r="F174" s="16">
        <f>'Job Planner'!F174</f>
        <v>0</v>
      </c>
      <c r="G174" s="16">
        <f>'Job Planner'!G174</f>
        <v>0</v>
      </c>
      <c r="H174" s="16" t="str">
        <f>'Job Planner'!I174</f>
        <v/>
      </c>
      <c r="I174" s="16" t="str">
        <f>'Job Planner'!J174</f>
        <v/>
      </c>
      <c r="J174" s="16" t="e">
        <f>'Job Planner'!N174</f>
        <v>#VALUE!</v>
      </c>
      <c r="K174" s="16" t="str">
        <f>IF(C174="BC",J174*'Mix Design'!$B$4,IF(C174="DBM",J174*'Mix Design'!$C$4,""))</f>
        <v/>
      </c>
      <c r="L174" s="16" t="str">
        <f>IF(C174="BC",J174*'Mix Design'!$B$5,IF(C174="DBM",J174*'Mix Design'!$C$5,""))</f>
        <v/>
      </c>
      <c r="M174" s="16" t="str">
        <f>IF(C174="BC",J174*'Mix Design'!$B$6,IF(C174="DBM",J174*'Mix Design'!$C$6,""))</f>
        <v/>
      </c>
      <c r="N174" s="16" t="str">
        <f>IF(C174="BC",J174*'Mix Design'!$B$7,IF(C174="DBM",J174*'Mix Design'!$C$7,""))</f>
        <v/>
      </c>
      <c r="O174" s="16" t="str">
        <f>IF(C174="BC",J174*'Mix Design'!$B$8,IF(C174="DBM",J174*'Mix Design'!$C$8,""))</f>
        <v/>
      </c>
      <c r="P174" s="16" t="str">
        <f>IF(C174="BC",J174*'Mix Design'!$B$9,IF(C174="DBM",J174*'Mix Design'!$C$9,""))</f>
        <v/>
      </c>
      <c r="Q174" s="16" t="e">
        <f>'Job Planner'!P174</f>
        <v>#VALUE!</v>
      </c>
      <c r="R174" s="16" t="e">
        <f>'Job Planner'!Q174</f>
        <v>#VALUE!</v>
      </c>
      <c r="S174" s="16" t="e">
        <f>'Job Planner'!S174</f>
        <v>#VALUE!</v>
      </c>
      <c r="T174" s="16" t="e">
        <f>'Job Planner'!Z174</f>
        <v>#VALUE!</v>
      </c>
      <c r="U174" s="16" t="e">
        <f>'Job Planner'!AB174</f>
        <v>#VALUE!</v>
      </c>
      <c r="V174" s="16">
        <f>'Job Planner'!AE174</f>
        <v>0</v>
      </c>
      <c r="W174" s="16">
        <f>'Job Planner'!AF174</f>
        <v>0</v>
      </c>
      <c r="X174" s="16" t="e">
        <f>'Job Planner'!AG174</f>
        <v>#VALUE!</v>
      </c>
    </row>
    <row r="175" spans="1:24" x14ac:dyDescent="0.2">
      <c r="A175" s="5">
        <f>'Job Planner'!A175</f>
        <v>0</v>
      </c>
      <c r="B175" s="14">
        <f>'Job Planner'!B175</f>
        <v>0</v>
      </c>
      <c r="C175" s="13">
        <f>'Job Planner'!C175</f>
        <v>0</v>
      </c>
      <c r="D175" s="14">
        <f>'Job Planner'!D175</f>
        <v>0</v>
      </c>
      <c r="E175" s="13" t="str">
        <f>IF('Job Planner'!D175="GEOMETRY",'Job Planner'!E175,'Job Planner'!K175)</f>
        <v/>
      </c>
      <c r="F175" s="16">
        <f>'Job Planner'!F175</f>
        <v>0</v>
      </c>
      <c r="G175" s="16">
        <f>'Job Planner'!G175</f>
        <v>0</v>
      </c>
      <c r="H175" s="16" t="str">
        <f>'Job Planner'!I175</f>
        <v/>
      </c>
      <c r="I175" s="16" t="str">
        <f>'Job Planner'!J175</f>
        <v/>
      </c>
      <c r="J175" s="16" t="e">
        <f>'Job Planner'!N175</f>
        <v>#VALUE!</v>
      </c>
      <c r="K175" s="16" t="str">
        <f>IF(C175="BC",J175*'Mix Design'!$B$4,IF(C175="DBM",J175*'Mix Design'!$C$4,""))</f>
        <v/>
      </c>
      <c r="L175" s="16" t="str">
        <f>IF(C175="BC",J175*'Mix Design'!$B$5,IF(C175="DBM",J175*'Mix Design'!$C$5,""))</f>
        <v/>
      </c>
      <c r="M175" s="16" t="str">
        <f>IF(C175="BC",J175*'Mix Design'!$B$6,IF(C175="DBM",J175*'Mix Design'!$C$6,""))</f>
        <v/>
      </c>
      <c r="N175" s="16" t="str">
        <f>IF(C175="BC",J175*'Mix Design'!$B$7,IF(C175="DBM",J175*'Mix Design'!$C$7,""))</f>
        <v/>
      </c>
      <c r="O175" s="16" t="str">
        <f>IF(C175="BC",J175*'Mix Design'!$B$8,IF(C175="DBM",J175*'Mix Design'!$C$8,""))</f>
        <v/>
      </c>
      <c r="P175" s="16" t="str">
        <f>IF(C175="BC",J175*'Mix Design'!$B$9,IF(C175="DBM",J175*'Mix Design'!$C$9,""))</f>
        <v/>
      </c>
      <c r="Q175" s="16" t="e">
        <f>'Job Planner'!P175</f>
        <v>#VALUE!</v>
      </c>
      <c r="R175" s="16" t="e">
        <f>'Job Planner'!Q175</f>
        <v>#VALUE!</v>
      </c>
      <c r="S175" s="16" t="e">
        <f>'Job Planner'!S175</f>
        <v>#VALUE!</v>
      </c>
      <c r="T175" s="16" t="e">
        <f>'Job Planner'!Z175</f>
        <v>#VALUE!</v>
      </c>
      <c r="U175" s="16" t="e">
        <f>'Job Planner'!AB175</f>
        <v>#VALUE!</v>
      </c>
      <c r="V175" s="16">
        <f>'Job Planner'!AE175</f>
        <v>0</v>
      </c>
      <c r="W175" s="16">
        <f>'Job Planner'!AF175</f>
        <v>0</v>
      </c>
      <c r="X175" s="16" t="e">
        <f>'Job Planner'!AG175</f>
        <v>#VALUE!</v>
      </c>
    </row>
    <row r="176" spans="1:24" x14ac:dyDescent="0.2">
      <c r="A176" s="5">
        <f>'Job Planner'!A176</f>
        <v>0</v>
      </c>
      <c r="B176" s="14">
        <f>'Job Planner'!B176</f>
        <v>0</v>
      </c>
      <c r="C176" s="13">
        <f>'Job Planner'!C176</f>
        <v>0</v>
      </c>
      <c r="D176" s="14">
        <f>'Job Planner'!D176</f>
        <v>0</v>
      </c>
      <c r="E176" s="13" t="str">
        <f>IF('Job Planner'!D176="GEOMETRY",'Job Planner'!E176,'Job Planner'!K176)</f>
        <v/>
      </c>
      <c r="F176" s="16">
        <f>'Job Planner'!F176</f>
        <v>0</v>
      </c>
      <c r="G176" s="16">
        <f>'Job Planner'!G176</f>
        <v>0</v>
      </c>
      <c r="H176" s="16" t="str">
        <f>'Job Planner'!I176</f>
        <v/>
      </c>
      <c r="I176" s="16" t="str">
        <f>'Job Planner'!J176</f>
        <v/>
      </c>
      <c r="J176" s="16" t="e">
        <f>'Job Planner'!N176</f>
        <v>#VALUE!</v>
      </c>
      <c r="K176" s="16" t="str">
        <f>IF(C176="BC",J176*'Mix Design'!$B$4,IF(C176="DBM",J176*'Mix Design'!$C$4,""))</f>
        <v/>
      </c>
      <c r="L176" s="16" t="str">
        <f>IF(C176="BC",J176*'Mix Design'!$B$5,IF(C176="DBM",J176*'Mix Design'!$C$5,""))</f>
        <v/>
      </c>
      <c r="M176" s="16" t="str">
        <f>IF(C176="BC",J176*'Mix Design'!$B$6,IF(C176="DBM",J176*'Mix Design'!$C$6,""))</f>
        <v/>
      </c>
      <c r="N176" s="16" t="str">
        <f>IF(C176="BC",J176*'Mix Design'!$B$7,IF(C176="DBM",J176*'Mix Design'!$C$7,""))</f>
        <v/>
      </c>
      <c r="O176" s="16" t="str">
        <f>IF(C176="BC",J176*'Mix Design'!$B$8,IF(C176="DBM",J176*'Mix Design'!$C$8,""))</f>
        <v/>
      </c>
      <c r="P176" s="16" t="str">
        <f>IF(C176="BC",J176*'Mix Design'!$B$9,IF(C176="DBM",J176*'Mix Design'!$C$9,""))</f>
        <v/>
      </c>
      <c r="Q176" s="16" t="e">
        <f>'Job Planner'!P176</f>
        <v>#VALUE!</v>
      </c>
      <c r="R176" s="16" t="e">
        <f>'Job Planner'!Q176</f>
        <v>#VALUE!</v>
      </c>
      <c r="S176" s="16" t="e">
        <f>'Job Planner'!S176</f>
        <v>#VALUE!</v>
      </c>
      <c r="T176" s="16" t="e">
        <f>'Job Planner'!Z176</f>
        <v>#VALUE!</v>
      </c>
      <c r="U176" s="16" t="e">
        <f>'Job Planner'!AB176</f>
        <v>#VALUE!</v>
      </c>
      <c r="V176" s="16">
        <f>'Job Planner'!AE176</f>
        <v>0</v>
      </c>
      <c r="W176" s="16">
        <f>'Job Planner'!AF176</f>
        <v>0</v>
      </c>
      <c r="X176" s="16" t="e">
        <f>'Job Planner'!AG176</f>
        <v>#VALUE!</v>
      </c>
    </row>
    <row r="177" spans="1:24" x14ac:dyDescent="0.2">
      <c r="A177" s="5">
        <f>'Job Planner'!A177</f>
        <v>0</v>
      </c>
      <c r="B177" s="14">
        <f>'Job Planner'!B177</f>
        <v>0</v>
      </c>
      <c r="C177" s="13">
        <f>'Job Planner'!C177</f>
        <v>0</v>
      </c>
      <c r="D177" s="14">
        <f>'Job Planner'!D177</f>
        <v>0</v>
      </c>
      <c r="E177" s="13" t="str">
        <f>IF('Job Planner'!D177="GEOMETRY",'Job Planner'!E177,'Job Planner'!K177)</f>
        <v/>
      </c>
      <c r="F177" s="16">
        <f>'Job Planner'!F177</f>
        <v>0</v>
      </c>
      <c r="G177" s="16">
        <f>'Job Planner'!G177</f>
        <v>0</v>
      </c>
      <c r="H177" s="16" t="str">
        <f>'Job Planner'!I177</f>
        <v/>
      </c>
      <c r="I177" s="16" t="str">
        <f>'Job Planner'!J177</f>
        <v/>
      </c>
      <c r="J177" s="16" t="e">
        <f>'Job Planner'!N177</f>
        <v>#VALUE!</v>
      </c>
      <c r="K177" s="16" t="str">
        <f>IF(C177="BC",J177*'Mix Design'!$B$4,IF(C177="DBM",J177*'Mix Design'!$C$4,""))</f>
        <v/>
      </c>
      <c r="L177" s="16" t="str">
        <f>IF(C177="BC",J177*'Mix Design'!$B$5,IF(C177="DBM",J177*'Mix Design'!$C$5,""))</f>
        <v/>
      </c>
      <c r="M177" s="16" t="str">
        <f>IF(C177="BC",J177*'Mix Design'!$B$6,IF(C177="DBM",J177*'Mix Design'!$C$6,""))</f>
        <v/>
      </c>
      <c r="N177" s="16" t="str">
        <f>IF(C177="BC",J177*'Mix Design'!$B$7,IF(C177="DBM",J177*'Mix Design'!$C$7,""))</f>
        <v/>
      </c>
      <c r="O177" s="16" t="str">
        <f>IF(C177="BC",J177*'Mix Design'!$B$8,IF(C177="DBM",J177*'Mix Design'!$C$8,""))</f>
        <v/>
      </c>
      <c r="P177" s="16" t="str">
        <f>IF(C177="BC",J177*'Mix Design'!$B$9,IF(C177="DBM",J177*'Mix Design'!$C$9,""))</f>
        <v/>
      </c>
      <c r="Q177" s="16" t="e">
        <f>'Job Planner'!P177</f>
        <v>#VALUE!</v>
      </c>
      <c r="R177" s="16" t="e">
        <f>'Job Planner'!Q177</f>
        <v>#VALUE!</v>
      </c>
      <c r="S177" s="16" t="e">
        <f>'Job Planner'!S177</f>
        <v>#VALUE!</v>
      </c>
      <c r="T177" s="16" t="e">
        <f>'Job Planner'!Z177</f>
        <v>#VALUE!</v>
      </c>
      <c r="U177" s="16" t="e">
        <f>'Job Planner'!AB177</f>
        <v>#VALUE!</v>
      </c>
      <c r="V177" s="16">
        <f>'Job Planner'!AE177</f>
        <v>0</v>
      </c>
      <c r="W177" s="16">
        <f>'Job Planner'!AF177</f>
        <v>0</v>
      </c>
      <c r="X177" s="16" t="e">
        <f>'Job Planner'!AG177</f>
        <v>#VALUE!</v>
      </c>
    </row>
    <row r="178" spans="1:24" x14ac:dyDescent="0.2">
      <c r="A178" s="5">
        <f>'Job Planner'!A178</f>
        <v>0</v>
      </c>
      <c r="B178" s="14">
        <f>'Job Planner'!B178</f>
        <v>0</v>
      </c>
      <c r="C178" s="13">
        <f>'Job Planner'!C178</f>
        <v>0</v>
      </c>
      <c r="D178" s="14">
        <f>'Job Planner'!D178</f>
        <v>0</v>
      </c>
      <c r="E178" s="13" t="str">
        <f>IF('Job Planner'!D178="GEOMETRY",'Job Planner'!E178,'Job Planner'!K178)</f>
        <v/>
      </c>
      <c r="F178" s="16">
        <f>'Job Planner'!F178</f>
        <v>0</v>
      </c>
      <c r="G178" s="16">
        <f>'Job Planner'!G178</f>
        <v>0</v>
      </c>
      <c r="H178" s="16" t="str">
        <f>'Job Planner'!I178</f>
        <v/>
      </c>
      <c r="I178" s="16" t="str">
        <f>'Job Planner'!J178</f>
        <v/>
      </c>
      <c r="J178" s="16" t="e">
        <f>'Job Planner'!N178</f>
        <v>#VALUE!</v>
      </c>
      <c r="K178" s="16" t="str">
        <f>IF(C178="BC",J178*'Mix Design'!$B$4,IF(C178="DBM",J178*'Mix Design'!$C$4,""))</f>
        <v/>
      </c>
      <c r="L178" s="16" t="str">
        <f>IF(C178="BC",J178*'Mix Design'!$B$5,IF(C178="DBM",J178*'Mix Design'!$C$5,""))</f>
        <v/>
      </c>
      <c r="M178" s="16" t="str">
        <f>IF(C178="BC",J178*'Mix Design'!$B$6,IF(C178="DBM",J178*'Mix Design'!$C$6,""))</f>
        <v/>
      </c>
      <c r="N178" s="16" t="str">
        <f>IF(C178="BC",J178*'Mix Design'!$B$7,IF(C178="DBM",J178*'Mix Design'!$C$7,""))</f>
        <v/>
      </c>
      <c r="O178" s="16" t="str">
        <f>IF(C178="BC",J178*'Mix Design'!$B$8,IF(C178="DBM",J178*'Mix Design'!$C$8,""))</f>
        <v/>
      </c>
      <c r="P178" s="16" t="str">
        <f>IF(C178="BC",J178*'Mix Design'!$B$9,IF(C178="DBM",J178*'Mix Design'!$C$9,""))</f>
        <v/>
      </c>
      <c r="Q178" s="16" t="e">
        <f>'Job Planner'!P178</f>
        <v>#VALUE!</v>
      </c>
      <c r="R178" s="16" t="e">
        <f>'Job Planner'!Q178</f>
        <v>#VALUE!</v>
      </c>
      <c r="S178" s="16" t="e">
        <f>'Job Planner'!S178</f>
        <v>#VALUE!</v>
      </c>
      <c r="T178" s="16" t="e">
        <f>'Job Planner'!Z178</f>
        <v>#VALUE!</v>
      </c>
      <c r="U178" s="16" t="e">
        <f>'Job Planner'!AB178</f>
        <v>#VALUE!</v>
      </c>
      <c r="V178" s="16">
        <f>'Job Planner'!AE178</f>
        <v>0</v>
      </c>
      <c r="W178" s="16">
        <f>'Job Planner'!AF178</f>
        <v>0</v>
      </c>
      <c r="X178" s="16" t="e">
        <f>'Job Planner'!AG178</f>
        <v>#VALUE!</v>
      </c>
    </row>
    <row r="179" spans="1:24" x14ac:dyDescent="0.2">
      <c r="A179" s="5">
        <f>'Job Planner'!A179</f>
        <v>0</v>
      </c>
      <c r="B179" s="14">
        <f>'Job Planner'!B179</f>
        <v>0</v>
      </c>
      <c r="C179" s="13">
        <f>'Job Planner'!C179</f>
        <v>0</v>
      </c>
      <c r="D179" s="14">
        <f>'Job Planner'!D179</f>
        <v>0</v>
      </c>
      <c r="E179" s="13" t="str">
        <f>IF('Job Planner'!D179="GEOMETRY",'Job Planner'!E179,'Job Planner'!K179)</f>
        <v/>
      </c>
      <c r="F179" s="16">
        <f>'Job Planner'!F179</f>
        <v>0</v>
      </c>
      <c r="G179" s="16">
        <f>'Job Planner'!G179</f>
        <v>0</v>
      </c>
      <c r="H179" s="16" t="str">
        <f>'Job Planner'!I179</f>
        <v/>
      </c>
      <c r="I179" s="16" t="str">
        <f>'Job Planner'!J179</f>
        <v/>
      </c>
      <c r="J179" s="16" t="e">
        <f>'Job Planner'!N179</f>
        <v>#VALUE!</v>
      </c>
      <c r="K179" s="16" t="str">
        <f>IF(C179="BC",J179*'Mix Design'!$B$4,IF(C179="DBM",J179*'Mix Design'!$C$4,""))</f>
        <v/>
      </c>
      <c r="L179" s="16" t="str">
        <f>IF(C179="BC",J179*'Mix Design'!$B$5,IF(C179="DBM",J179*'Mix Design'!$C$5,""))</f>
        <v/>
      </c>
      <c r="M179" s="16" t="str">
        <f>IF(C179="BC",J179*'Mix Design'!$B$6,IF(C179="DBM",J179*'Mix Design'!$C$6,""))</f>
        <v/>
      </c>
      <c r="N179" s="16" t="str">
        <f>IF(C179="BC",J179*'Mix Design'!$B$7,IF(C179="DBM",J179*'Mix Design'!$C$7,""))</f>
        <v/>
      </c>
      <c r="O179" s="16" t="str">
        <f>IF(C179="BC",J179*'Mix Design'!$B$8,IF(C179="DBM",J179*'Mix Design'!$C$8,""))</f>
        <v/>
      </c>
      <c r="P179" s="16" t="str">
        <f>IF(C179="BC",J179*'Mix Design'!$B$9,IF(C179="DBM",J179*'Mix Design'!$C$9,""))</f>
        <v/>
      </c>
      <c r="Q179" s="16" t="e">
        <f>'Job Planner'!P179</f>
        <v>#VALUE!</v>
      </c>
      <c r="R179" s="16" t="e">
        <f>'Job Planner'!Q179</f>
        <v>#VALUE!</v>
      </c>
      <c r="S179" s="16" t="e">
        <f>'Job Planner'!S179</f>
        <v>#VALUE!</v>
      </c>
      <c r="T179" s="16" t="e">
        <f>'Job Planner'!Z179</f>
        <v>#VALUE!</v>
      </c>
      <c r="U179" s="16" t="e">
        <f>'Job Planner'!AB179</f>
        <v>#VALUE!</v>
      </c>
      <c r="V179" s="16">
        <f>'Job Planner'!AE179</f>
        <v>0</v>
      </c>
      <c r="W179" s="16">
        <f>'Job Planner'!AF179</f>
        <v>0</v>
      </c>
      <c r="X179" s="16" t="e">
        <f>'Job Planner'!AG179</f>
        <v>#VALUE!</v>
      </c>
    </row>
    <row r="180" spans="1:24" x14ac:dyDescent="0.2">
      <c r="A180" s="5">
        <f>'Job Planner'!A180</f>
        <v>0</v>
      </c>
      <c r="B180" s="14">
        <f>'Job Planner'!B180</f>
        <v>0</v>
      </c>
      <c r="C180" s="13">
        <f>'Job Planner'!C180</f>
        <v>0</v>
      </c>
      <c r="D180" s="14">
        <f>'Job Planner'!D180</f>
        <v>0</v>
      </c>
      <c r="E180" s="13" t="str">
        <f>IF('Job Planner'!D180="GEOMETRY",'Job Planner'!E180,'Job Planner'!K180)</f>
        <v/>
      </c>
      <c r="F180" s="16">
        <f>'Job Planner'!F180</f>
        <v>0</v>
      </c>
      <c r="G180" s="16">
        <f>'Job Planner'!G180</f>
        <v>0</v>
      </c>
      <c r="H180" s="16" t="str">
        <f>'Job Planner'!I180</f>
        <v/>
      </c>
      <c r="I180" s="16" t="str">
        <f>'Job Planner'!J180</f>
        <v/>
      </c>
      <c r="J180" s="16" t="e">
        <f>'Job Planner'!N180</f>
        <v>#VALUE!</v>
      </c>
      <c r="K180" s="16" t="str">
        <f>IF(C180="BC",J180*'Mix Design'!$B$4,IF(C180="DBM",J180*'Mix Design'!$C$4,""))</f>
        <v/>
      </c>
      <c r="L180" s="16" t="str">
        <f>IF(C180="BC",J180*'Mix Design'!$B$5,IF(C180="DBM",J180*'Mix Design'!$C$5,""))</f>
        <v/>
      </c>
      <c r="M180" s="16" t="str">
        <f>IF(C180="BC",J180*'Mix Design'!$B$6,IF(C180="DBM",J180*'Mix Design'!$C$6,""))</f>
        <v/>
      </c>
      <c r="N180" s="16" t="str">
        <f>IF(C180="BC",J180*'Mix Design'!$B$7,IF(C180="DBM",J180*'Mix Design'!$C$7,""))</f>
        <v/>
      </c>
      <c r="O180" s="16" t="str">
        <f>IF(C180="BC",J180*'Mix Design'!$B$8,IF(C180="DBM",J180*'Mix Design'!$C$8,""))</f>
        <v/>
      </c>
      <c r="P180" s="16" t="str">
        <f>IF(C180="BC",J180*'Mix Design'!$B$9,IF(C180="DBM",J180*'Mix Design'!$C$9,""))</f>
        <v/>
      </c>
      <c r="Q180" s="16" t="e">
        <f>'Job Planner'!P180</f>
        <v>#VALUE!</v>
      </c>
      <c r="R180" s="16" t="e">
        <f>'Job Planner'!Q180</f>
        <v>#VALUE!</v>
      </c>
      <c r="S180" s="16" t="e">
        <f>'Job Planner'!S180</f>
        <v>#VALUE!</v>
      </c>
      <c r="T180" s="16" t="e">
        <f>'Job Planner'!Z180</f>
        <v>#VALUE!</v>
      </c>
      <c r="U180" s="16" t="e">
        <f>'Job Planner'!AB180</f>
        <v>#VALUE!</v>
      </c>
      <c r="V180" s="16">
        <f>'Job Planner'!AE180</f>
        <v>0</v>
      </c>
      <c r="W180" s="16">
        <f>'Job Planner'!AF180</f>
        <v>0</v>
      </c>
      <c r="X180" s="16" t="e">
        <f>'Job Planner'!AG180</f>
        <v>#VALUE!</v>
      </c>
    </row>
    <row r="181" spans="1:24" x14ac:dyDescent="0.2">
      <c r="A181" s="5">
        <f>'Job Planner'!A181</f>
        <v>0</v>
      </c>
      <c r="B181" s="14">
        <f>'Job Planner'!B181</f>
        <v>0</v>
      </c>
      <c r="C181" s="13">
        <f>'Job Planner'!C181</f>
        <v>0</v>
      </c>
      <c r="D181" s="14">
        <f>'Job Planner'!D181</f>
        <v>0</v>
      </c>
      <c r="E181" s="13" t="str">
        <f>IF('Job Planner'!D181="GEOMETRY",'Job Planner'!E181,'Job Planner'!K181)</f>
        <v/>
      </c>
      <c r="F181" s="16">
        <f>'Job Planner'!F181</f>
        <v>0</v>
      </c>
      <c r="G181" s="16">
        <f>'Job Planner'!G181</f>
        <v>0</v>
      </c>
      <c r="H181" s="16" t="str">
        <f>'Job Planner'!I181</f>
        <v/>
      </c>
      <c r="I181" s="16" t="str">
        <f>'Job Planner'!J181</f>
        <v/>
      </c>
      <c r="J181" s="16" t="e">
        <f>'Job Planner'!N181</f>
        <v>#VALUE!</v>
      </c>
      <c r="K181" s="16" t="str">
        <f>IF(C181="BC",J181*'Mix Design'!$B$4,IF(C181="DBM",J181*'Mix Design'!$C$4,""))</f>
        <v/>
      </c>
      <c r="L181" s="16" t="str">
        <f>IF(C181="BC",J181*'Mix Design'!$B$5,IF(C181="DBM",J181*'Mix Design'!$C$5,""))</f>
        <v/>
      </c>
      <c r="M181" s="16" t="str">
        <f>IF(C181="BC",J181*'Mix Design'!$B$6,IF(C181="DBM",J181*'Mix Design'!$C$6,""))</f>
        <v/>
      </c>
      <c r="N181" s="16" t="str">
        <f>IF(C181="BC",J181*'Mix Design'!$B$7,IF(C181="DBM",J181*'Mix Design'!$C$7,""))</f>
        <v/>
      </c>
      <c r="O181" s="16" t="str">
        <f>IF(C181="BC",J181*'Mix Design'!$B$8,IF(C181="DBM",J181*'Mix Design'!$C$8,""))</f>
        <v/>
      </c>
      <c r="P181" s="16" t="str">
        <f>IF(C181="BC",J181*'Mix Design'!$B$9,IF(C181="DBM",J181*'Mix Design'!$C$9,""))</f>
        <v/>
      </c>
      <c r="Q181" s="16" t="e">
        <f>'Job Planner'!P181</f>
        <v>#VALUE!</v>
      </c>
      <c r="R181" s="16" t="e">
        <f>'Job Planner'!Q181</f>
        <v>#VALUE!</v>
      </c>
      <c r="S181" s="16" t="e">
        <f>'Job Planner'!S181</f>
        <v>#VALUE!</v>
      </c>
      <c r="T181" s="16" t="e">
        <f>'Job Planner'!Z181</f>
        <v>#VALUE!</v>
      </c>
      <c r="U181" s="16" t="e">
        <f>'Job Planner'!AB181</f>
        <v>#VALUE!</v>
      </c>
      <c r="V181" s="16">
        <f>'Job Planner'!AE181</f>
        <v>0</v>
      </c>
      <c r="W181" s="16">
        <f>'Job Planner'!AF181</f>
        <v>0</v>
      </c>
      <c r="X181" s="16" t="e">
        <f>'Job Planner'!AG181</f>
        <v>#VALUE!</v>
      </c>
    </row>
    <row r="182" spans="1:24" x14ac:dyDescent="0.2">
      <c r="A182" s="5">
        <f>'Job Planner'!A182</f>
        <v>0</v>
      </c>
      <c r="B182" s="14">
        <f>'Job Planner'!B182</f>
        <v>0</v>
      </c>
      <c r="C182" s="13">
        <f>'Job Planner'!C182</f>
        <v>0</v>
      </c>
      <c r="D182" s="14">
        <f>'Job Planner'!D182</f>
        <v>0</v>
      </c>
      <c r="E182" s="13" t="str">
        <f>IF('Job Planner'!D182="GEOMETRY",'Job Planner'!E182,'Job Planner'!K182)</f>
        <v/>
      </c>
      <c r="F182" s="16">
        <f>'Job Planner'!F182</f>
        <v>0</v>
      </c>
      <c r="G182" s="16">
        <f>'Job Planner'!G182</f>
        <v>0</v>
      </c>
      <c r="H182" s="16" t="str">
        <f>'Job Planner'!I182</f>
        <v/>
      </c>
      <c r="I182" s="16" t="str">
        <f>'Job Planner'!J182</f>
        <v/>
      </c>
      <c r="J182" s="16" t="e">
        <f>'Job Planner'!N182</f>
        <v>#VALUE!</v>
      </c>
      <c r="K182" s="16" t="str">
        <f>IF(C182="BC",J182*'Mix Design'!$B$4,IF(C182="DBM",J182*'Mix Design'!$C$4,""))</f>
        <v/>
      </c>
      <c r="L182" s="16" t="str">
        <f>IF(C182="BC",J182*'Mix Design'!$B$5,IF(C182="DBM",J182*'Mix Design'!$C$5,""))</f>
        <v/>
      </c>
      <c r="M182" s="16" t="str">
        <f>IF(C182="BC",J182*'Mix Design'!$B$6,IF(C182="DBM",J182*'Mix Design'!$C$6,""))</f>
        <v/>
      </c>
      <c r="N182" s="16" t="str">
        <f>IF(C182="BC",J182*'Mix Design'!$B$7,IF(C182="DBM",J182*'Mix Design'!$C$7,""))</f>
        <v/>
      </c>
      <c r="O182" s="16" t="str">
        <f>IF(C182="BC",J182*'Mix Design'!$B$8,IF(C182="DBM",J182*'Mix Design'!$C$8,""))</f>
        <v/>
      </c>
      <c r="P182" s="16" t="str">
        <f>IF(C182="BC",J182*'Mix Design'!$B$9,IF(C182="DBM",J182*'Mix Design'!$C$9,""))</f>
        <v/>
      </c>
      <c r="Q182" s="16" t="e">
        <f>'Job Planner'!P182</f>
        <v>#VALUE!</v>
      </c>
      <c r="R182" s="16" t="e">
        <f>'Job Planner'!Q182</f>
        <v>#VALUE!</v>
      </c>
      <c r="S182" s="16" t="e">
        <f>'Job Planner'!S182</f>
        <v>#VALUE!</v>
      </c>
      <c r="T182" s="16" t="e">
        <f>'Job Planner'!Z182</f>
        <v>#VALUE!</v>
      </c>
      <c r="U182" s="16" t="e">
        <f>'Job Planner'!AB182</f>
        <v>#VALUE!</v>
      </c>
      <c r="V182" s="16">
        <f>'Job Planner'!AE182</f>
        <v>0</v>
      </c>
      <c r="W182" s="16">
        <f>'Job Planner'!AF182</f>
        <v>0</v>
      </c>
      <c r="X182" s="16" t="e">
        <f>'Job Planner'!AG182</f>
        <v>#VALUE!</v>
      </c>
    </row>
    <row r="183" spans="1:24" x14ac:dyDescent="0.2">
      <c r="A183" s="5">
        <f>'Job Planner'!A183</f>
        <v>0</v>
      </c>
      <c r="B183" s="14">
        <f>'Job Planner'!B183</f>
        <v>0</v>
      </c>
      <c r="C183" s="13">
        <f>'Job Planner'!C183</f>
        <v>0</v>
      </c>
      <c r="D183" s="14">
        <f>'Job Planner'!D183</f>
        <v>0</v>
      </c>
      <c r="E183" s="13" t="str">
        <f>IF('Job Planner'!D183="GEOMETRY",'Job Planner'!E183,'Job Planner'!K183)</f>
        <v/>
      </c>
      <c r="F183" s="16">
        <f>'Job Planner'!F183</f>
        <v>0</v>
      </c>
      <c r="G183" s="16">
        <f>'Job Planner'!G183</f>
        <v>0</v>
      </c>
      <c r="H183" s="16" t="str">
        <f>'Job Planner'!I183</f>
        <v/>
      </c>
      <c r="I183" s="16" t="str">
        <f>'Job Planner'!J183</f>
        <v/>
      </c>
      <c r="J183" s="16" t="e">
        <f>'Job Planner'!N183</f>
        <v>#VALUE!</v>
      </c>
      <c r="K183" s="16" t="str">
        <f>IF(C183="BC",J183*'Mix Design'!$B$4,IF(C183="DBM",J183*'Mix Design'!$C$4,""))</f>
        <v/>
      </c>
      <c r="L183" s="16" t="str">
        <f>IF(C183="BC",J183*'Mix Design'!$B$5,IF(C183="DBM",J183*'Mix Design'!$C$5,""))</f>
        <v/>
      </c>
      <c r="M183" s="16" t="str">
        <f>IF(C183="BC",J183*'Mix Design'!$B$6,IF(C183="DBM",J183*'Mix Design'!$C$6,""))</f>
        <v/>
      </c>
      <c r="N183" s="16" t="str">
        <f>IF(C183="BC",J183*'Mix Design'!$B$7,IF(C183="DBM",J183*'Mix Design'!$C$7,""))</f>
        <v/>
      </c>
      <c r="O183" s="16" t="str">
        <f>IF(C183="BC",J183*'Mix Design'!$B$8,IF(C183="DBM",J183*'Mix Design'!$C$8,""))</f>
        <v/>
      </c>
      <c r="P183" s="16" t="str">
        <f>IF(C183="BC",J183*'Mix Design'!$B$9,IF(C183="DBM",J183*'Mix Design'!$C$9,""))</f>
        <v/>
      </c>
      <c r="Q183" s="16" t="e">
        <f>'Job Planner'!P183</f>
        <v>#VALUE!</v>
      </c>
      <c r="R183" s="16" t="e">
        <f>'Job Planner'!Q183</f>
        <v>#VALUE!</v>
      </c>
      <c r="S183" s="16" t="e">
        <f>'Job Planner'!S183</f>
        <v>#VALUE!</v>
      </c>
      <c r="T183" s="16" t="e">
        <f>'Job Planner'!Z183</f>
        <v>#VALUE!</v>
      </c>
      <c r="U183" s="16" t="e">
        <f>'Job Planner'!AB183</f>
        <v>#VALUE!</v>
      </c>
      <c r="V183" s="16">
        <f>'Job Planner'!AE183</f>
        <v>0</v>
      </c>
      <c r="W183" s="16">
        <f>'Job Planner'!AF183</f>
        <v>0</v>
      </c>
      <c r="X183" s="16" t="e">
        <f>'Job Planner'!AG183</f>
        <v>#VALUE!</v>
      </c>
    </row>
    <row r="184" spans="1:24" x14ac:dyDescent="0.2">
      <c r="A184" s="5">
        <f>'Job Planner'!A184</f>
        <v>0</v>
      </c>
      <c r="B184" s="14">
        <f>'Job Planner'!B184</f>
        <v>0</v>
      </c>
      <c r="C184" s="13">
        <f>'Job Planner'!C184</f>
        <v>0</v>
      </c>
      <c r="D184" s="14">
        <f>'Job Planner'!D184</f>
        <v>0</v>
      </c>
      <c r="E184" s="13" t="str">
        <f>IF('Job Planner'!D184="GEOMETRY",'Job Planner'!E184,'Job Planner'!K184)</f>
        <v/>
      </c>
      <c r="F184" s="16">
        <f>'Job Planner'!F184</f>
        <v>0</v>
      </c>
      <c r="G184" s="16">
        <f>'Job Planner'!G184</f>
        <v>0</v>
      </c>
      <c r="H184" s="16" t="str">
        <f>'Job Planner'!I184</f>
        <v/>
      </c>
      <c r="I184" s="16" t="str">
        <f>'Job Planner'!J184</f>
        <v/>
      </c>
      <c r="J184" s="16" t="e">
        <f>'Job Planner'!N184</f>
        <v>#VALUE!</v>
      </c>
      <c r="K184" s="16" t="str">
        <f>IF(C184="BC",J184*'Mix Design'!$B$4,IF(C184="DBM",J184*'Mix Design'!$C$4,""))</f>
        <v/>
      </c>
      <c r="L184" s="16" t="str">
        <f>IF(C184="BC",J184*'Mix Design'!$B$5,IF(C184="DBM",J184*'Mix Design'!$C$5,""))</f>
        <v/>
      </c>
      <c r="M184" s="16" t="str">
        <f>IF(C184="BC",J184*'Mix Design'!$B$6,IF(C184="DBM",J184*'Mix Design'!$C$6,""))</f>
        <v/>
      </c>
      <c r="N184" s="16" t="str">
        <f>IF(C184="BC",J184*'Mix Design'!$B$7,IF(C184="DBM",J184*'Mix Design'!$C$7,""))</f>
        <v/>
      </c>
      <c r="O184" s="16" t="str">
        <f>IF(C184="BC",J184*'Mix Design'!$B$8,IF(C184="DBM",J184*'Mix Design'!$C$8,""))</f>
        <v/>
      </c>
      <c r="P184" s="16" t="str">
        <f>IF(C184="BC",J184*'Mix Design'!$B$9,IF(C184="DBM",J184*'Mix Design'!$C$9,""))</f>
        <v/>
      </c>
      <c r="Q184" s="16" t="e">
        <f>'Job Planner'!P184</f>
        <v>#VALUE!</v>
      </c>
      <c r="R184" s="16" t="e">
        <f>'Job Planner'!Q184</f>
        <v>#VALUE!</v>
      </c>
      <c r="S184" s="16" t="e">
        <f>'Job Planner'!S184</f>
        <v>#VALUE!</v>
      </c>
      <c r="T184" s="16" t="e">
        <f>'Job Planner'!Z184</f>
        <v>#VALUE!</v>
      </c>
      <c r="U184" s="16" t="e">
        <f>'Job Planner'!AB184</f>
        <v>#VALUE!</v>
      </c>
      <c r="V184" s="16">
        <f>'Job Planner'!AE184</f>
        <v>0</v>
      </c>
      <c r="W184" s="16">
        <f>'Job Planner'!AF184</f>
        <v>0</v>
      </c>
      <c r="X184" s="16" t="e">
        <f>'Job Planner'!AG184</f>
        <v>#VALUE!</v>
      </c>
    </row>
    <row r="185" spans="1:24" x14ac:dyDescent="0.2">
      <c r="A185" s="5">
        <f>'Job Planner'!A185</f>
        <v>0</v>
      </c>
      <c r="B185" s="14">
        <f>'Job Planner'!B185</f>
        <v>0</v>
      </c>
      <c r="C185" s="13">
        <f>'Job Planner'!C185</f>
        <v>0</v>
      </c>
      <c r="D185" s="14">
        <f>'Job Planner'!D185</f>
        <v>0</v>
      </c>
      <c r="E185" s="13" t="str">
        <f>IF('Job Planner'!D185="GEOMETRY",'Job Planner'!E185,'Job Planner'!K185)</f>
        <v/>
      </c>
      <c r="F185" s="16">
        <f>'Job Planner'!F185</f>
        <v>0</v>
      </c>
      <c r="G185" s="16">
        <f>'Job Planner'!G185</f>
        <v>0</v>
      </c>
      <c r="H185" s="16" t="str">
        <f>'Job Planner'!I185</f>
        <v/>
      </c>
      <c r="I185" s="16" t="str">
        <f>'Job Planner'!J185</f>
        <v/>
      </c>
      <c r="J185" s="16" t="e">
        <f>'Job Planner'!N185</f>
        <v>#VALUE!</v>
      </c>
      <c r="K185" s="16" t="str">
        <f>IF(C185="BC",J185*'Mix Design'!$B$4,IF(C185="DBM",J185*'Mix Design'!$C$4,""))</f>
        <v/>
      </c>
      <c r="L185" s="16" t="str">
        <f>IF(C185="BC",J185*'Mix Design'!$B$5,IF(C185="DBM",J185*'Mix Design'!$C$5,""))</f>
        <v/>
      </c>
      <c r="M185" s="16" t="str">
        <f>IF(C185="BC",J185*'Mix Design'!$B$6,IF(C185="DBM",J185*'Mix Design'!$C$6,""))</f>
        <v/>
      </c>
      <c r="N185" s="16" t="str">
        <f>IF(C185="BC",J185*'Mix Design'!$B$7,IF(C185="DBM",J185*'Mix Design'!$C$7,""))</f>
        <v/>
      </c>
      <c r="O185" s="16" t="str">
        <f>IF(C185="BC",J185*'Mix Design'!$B$8,IF(C185="DBM",J185*'Mix Design'!$C$8,""))</f>
        <v/>
      </c>
      <c r="P185" s="16" t="str">
        <f>IF(C185="BC",J185*'Mix Design'!$B$9,IF(C185="DBM",J185*'Mix Design'!$C$9,""))</f>
        <v/>
      </c>
      <c r="Q185" s="16" t="e">
        <f>'Job Planner'!P185</f>
        <v>#VALUE!</v>
      </c>
      <c r="R185" s="16" t="e">
        <f>'Job Planner'!Q185</f>
        <v>#VALUE!</v>
      </c>
      <c r="S185" s="16" t="e">
        <f>'Job Planner'!S185</f>
        <v>#VALUE!</v>
      </c>
      <c r="T185" s="16" t="e">
        <f>'Job Planner'!Z185</f>
        <v>#VALUE!</v>
      </c>
      <c r="U185" s="16" t="e">
        <f>'Job Planner'!AB185</f>
        <v>#VALUE!</v>
      </c>
      <c r="V185" s="16">
        <f>'Job Planner'!AE185</f>
        <v>0</v>
      </c>
      <c r="W185" s="16">
        <f>'Job Planner'!AF185</f>
        <v>0</v>
      </c>
      <c r="X185" s="16" t="e">
        <f>'Job Planner'!AG185</f>
        <v>#VALUE!</v>
      </c>
    </row>
    <row r="186" spans="1:24" x14ac:dyDescent="0.2">
      <c r="A186" s="5">
        <f>'Job Planner'!A186</f>
        <v>0</v>
      </c>
      <c r="B186" s="14">
        <f>'Job Planner'!B186</f>
        <v>0</v>
      </c>
      <c r="C186" s="13">
        <f>'Job Planner'!C186</f>
        <v>0</v>
      </c>
      <c r="D186" s="14">
        <f>'Job Planner'!D186</f>
        <v>0</v>
      </c>
      <c r="E186" s="13" t="str">
        <f>IF('Job Planner'!D186="GEOMETRY",'Job Planner'!E186,'Job Planner'!K186)</f>
        <v/>
      </c>
      <c r="F186" s="16">
        <f>'Job Planner'!F186</f>
        <v>0</v>
      </c>
      <c r="G186" s="16">
        <f>'Job Planner'!G186</f>
        <v>0</v>
      </c>
      <c r="H186" s="16" t="str">
        <f>'Job Planner'!I186</f>
        <v/>
      </c>
      <c r="I186" s="16" t="str">
        <f>'Job Planner'!J186</f>
        <v/>
      </c>
      <c r="J186" s="16" t="e">
        <f>'Job Planner'!N186</f>
        <v>#VALUE!</v>
      </c>
      <c r="K186" s="16" t="str">
        <f>IF(C186="BC",J186*'Mix Design'!$B$4,IF(C186="DBM",J186*'Mix Design'!$C$4,""))</f>
        <v/>
      </c>
      <c r="L186" s="16" t="str">
        <f>IF(C186="BC",J186*'Mix Design'!$B$5,IF(C186="DBM",J186*'Mix Design'!$C$5,""))</f>
        <v/>
      </c>
      <c r="M186" s="16" t="str">
        <f>IF(C186="BC",J186*'Mix Design'!$B$6,IF(C186="DBM",J186*'Mix Design'!$C$6,""))</f>
        <v/>
      </c>
      <c r="N186" s="16" t="str">
        <f>IF(C186="BC",J186*'Mix Design'!$B$7,IF(C186="DBM",J186*'Mix Design'!$C$7,""))</f>
        <v/>
      </c>
      <c r="O186" s="16" t="str">
        <f>IF(C186="BC",J186*'Mix Design'!$B$8,IF(C186="DBM",J186*'Mix Design'!$C$8,""))</f>
        <v/>
      </c>
      <c r="P186" s="16" t="str">
        <f>IF(C186="BC",J186*'Mix Design'!$B$9,IF(C186="DBM",J186*'Mix Design'!$C$9,""))</f>
        <v/>
      </c>
      <c r="Q186" s="16" t="e">
        <f>'Job Planner'!P186</f>
        <v>#VALUE!</v>
      </c>
      <c r="R186" s="16" t="e">
        <f>'Job Planner'!Q186</f>
        <v>#VALUE!</v>
      </c>
      <c r="S186" s="16" t="e">
        <f>'Job Planner'!S186</f>
        <v>#VALUE!</v>
      </c>
      <c r="T186" s="16" t="e">
        <f>'Job Planner'!Z186</f>
        <v>#VALUE!</v>
      </c>
      <c r="U186" s="16" t="e">
        <f>'Job Planner'!AB186</f>
        <v>#VALUE!</v>
      </c>
      <c r="V186" s="16">
        <f>'Job Planner'!AE186</f>
        <v>0</v>
      </c>
      <c r="W186" s="16">
        <f>'Job Planner'!AF186</f>
        <v>0</v>
      </c>
      <c r="X186" s="16" t="e">
        <f>'Job Planner'!AG186</f>
        <v>#VALUE!</v>
      </c>
    </row>
    <row r="187" spans="1:24" x14ac:dyDescent="0.2">
      <c r="A187" s="5">
        <f>'Job Planner'!A187</f>
        <v>0</v>
      </c>
      <c r="B187" s="14">
        <f>'Job Planner'!B187</f>
        <v>0</v>
      </c>
      <c r="C187" s="13">
        <f>'Job Planner'!C187</f>
        <v>0</v>
      </c>
      <c r="D187" s="14">
        <f>'Job Planner'!D187</f>
        <v>0</v>
      </c>
      <c r="E187" s="13" t="str">
        <f>IF('Job Planner'!D187="GEOMETRY",'Job Planner'!E187,'Job Planner'!K187)</f>
        <v/>
      </c>
      <c r="F187" s="16">
        <f>'Job Planner'!F187</f>
        <v>0</v>
      </c>
      <c r="G187" s="16">
        <f>'Job Planner'!G187</f>
        <v>0</v>
      </c>
      <c r="H187" s="16" t="str">
        <f>'Job Planner'!I187</f>
        <v/>
      </c>
      <c r="I187" s="16" t="str">
        <f>'Job Planner'!J187</f>
        <v/>
      </c>
      <c r="J187" s="16" t="e">
        <f>'Job Planner'!N187</f>
        <v>#VALUE!</v>
      </c>
      <c r="K187" s="16" t="str">
        <f>IF(C187="BC",J187*'Mix Design'!$B$4,IF(C187="DBM",J187*'Mix Design'!$C$4,""))</f>
        <v/>
      </c>
      <c r="L187" s="16" t="str">
        <f>IF(C187="BC",J187*'Mix Design'!$B$5,IF(C187="DBM",J187*'Mix Design'!$C$5,""))</f>
        <v/>
      </c>
      <c r="M187" s="16" t="str">
        <f>IF(C187="BC",J187*'Mix Design'!$B$6,IF(C187="DBM",J187*'Mix Design'!$C$6,""))</f>
        <v/>
      </c>
      <c r="N187" s="16" t="str">
        <f>IF(C187="BC",J187*'Mix Design'!$B$7,IF(C187="DBM",J187*'Mix Design'!$C$7,""))</f>
        <v/>
      </c>
      <c r="O187" s="16" t="str">
        <f>IF(C187="BC",J187*'Mix Design'!$B$8,IF(C187="DBM",J187*'Mix Design'!$C$8,""))</f>
        <v/>
      </c>
      <c r="P187" s="16" t="str">
        <f>IF(C187="BC",J187*'Mix Design'!$B$9,IF(C187="DBM",J187*'Mix Design'!$C$9,""))</f>
        <v/>
      </c>
      <c r="Q187" s="16" t="e">
        <f>'Job Planner'!P187</f>
        <v>#VALUE!</v>
      </c>
      <c r="R187" s="16" t="e">
        <f>'Job Planner'!Q187</f>
        <v>#VALUE!</v>
      </c>
      <c r="S187" s="16" t="e">
        <f>'Job Planner'!S187</f>
        <v>#VALUE!</v>
      </c>
      <c r="T187" s="16" t="e">
        <f>'Job Planner'!Z187</f>
        <v>#VALUE!</v>
      </c>
      <c r="U187" s="16" t="e">
        <f>'Job Planner'!AB187</f>
        <v>#VALUE!</v>
      </c>
      <c r="V187" s="16">
        <f>'Job Planner'!AE187</f>
        <v>0</v>
      </c>
      <c r="W187" s="16">
        <f>'Job Planner'!AF187</f>
        <v>0</v>
      </c>
      <c r="X187" s="16" t="e">
        <f>'Job Planner'!AG187</f>
        <v>#VALUE!</v>
      </c>
    </row>
    <row r="188" spans="1:24" x14ac:dyDescent="0.2">
      <c r="A188" s="5">
        <f>'Job Planner'!A188</f>
        <v>0</v>
      </c>
      <c r="B188" s="14">
        <f>'Job Planner'!B188</f>
        <v>0</v>
      </c>
      <c r="C188" s="13">
        <f>'Job Planner'!C188</f>
        <v>0</v>
      </c>
      <c r="D188" s="14">
        <f>'Job Planner'!D188</f>
        <v>0</v>
      </c>
      <c r="E188" s="13" t="str">
        <f>IF('Job Planner'!D188="GEOMETRY",'Job Planner'!E188,'Job Planner'!K188)</f>
        <v/>
      </c>
      <c r="F188" s="16">
        <f>'Job Planner'!F188</f>
        <v>0</v>
      </c>
      <c r="G188" s="16">
        <f>'Job Planner'!G188</f>
        <v>0</v>
      </c>
      <c r="H188" s="16" t="str">
        <f>'Job Planner'!I188</f>
        <v/>
      </c>
      <c r="I188" s="16" t="str">
        <f>'Job Planner'!J188</f>
        <v/>
      </c>
      <c r="J188" s="16" t="e">
        <f>'Job Planner'!N188</f>
        <v>#VALUE!</v>
      </c>
      <c r="K188" s="16" t="str">
        <f>IF(C188="BC",J188*'Mix Design'!$B$4,IF(C188="DBM",J188*'Mix Design'!$C$4,""))</f>
        <v/>
      </c>
      <c r="L188" s="16" t="str">
        <f>IF(C188="BC",J188*'Mix Design'!$B$5,IF(C188="DBM",J188*'Mix Design'!$C$5,""))</f>
        <v/>
      </c>
      <c r="M188" s="16" t="str">
        <f>IF(C188="BC",J188*'Mix Design'!$B$6,IF(C188="DBM",J188*'Mix Design'!$C$6,""))</f>
        <v/>
      </c>
      <c r="N188" s="16" t="str">
        <f>IF(C188="BC",J188*'Mix Design'!$B$7,IF(C188="DBM",J188*'Mix Design'!$C$7,""))</f>
        <v/>
      </c>
      <c r="O188" s="16" t="str">
        <f>IF(C188="BC",J188*'Mix Design'!$B$8,IF(C188="DBM",J188*'Mix Design'!$C$8,""))</f>
        <v/>
      </c>
      <c r="P188" s="16" t="str">
        <f>IF(C188="BC",J188*'Mix Design'!$B$9,IF(C188="DBM",J188*'Mix Design'!$C$9,""))</f>
        <v/>
      </c>
      <c r="Q188" s="16" t="e">
        <f>'Job Planner'!P188</f>
        <v>#VALUE!</v>
      </c>
      <c r="R188" s="16" t="e">
        <f>'Job Planner'!Q188</f>
        <v>#VALUE!</v>
      </c>
      <c r="S188" s="16" t="e">
        <f>'Job Planner'!S188</f>
        <v>#VALUE!</v>
      </c>
      <c r="T188" s="16" t="e">
        <f>'Job Planner'!Z188</f>
        <v>#VALUE!</v>
      </c>
      <c r="U188" s="16" t="e">
        <f>'Job Planner'!AB188</f>
        <v>#VALUE!</v>
      </c>
      <c r="V188" s="16">
        <f>'Job Planner'!AE188</f>
        <v>0</v>
      </c>
      <c r="W188" s="16">
        <f>'Job Planner'!AF188</f>
        <v>0</v>
      </c>
      <c r="X188" s="16" t="e">
        <f>'Job Planner'!AG188</f>
        <v>#VALUE!</v>
      </c>
    </row>
    <row r="189" spans="1:24" x14ac:dyDescent="0.2">
      <c r="A189" s="5">
        <f>'Job Planner'!A189</f>
        <v>0</v>
      </c>
      <c r="B189" s="14">
        <f>'Job Planner'!B189</f>
        <v>0</v>
      </c>
      <c r="C189" s="13">
        <f>'Job Planner'!C189</f>
        <v>0</v>
      </c>
      <c r="D189" s="14">
        <f>'Job Planner'!D189</f>
        <v>0</v>
      </c>
      <c r="E189" s="13" t="str">
        <f>IF('Job Planner'!D189="GEOMETRY",'Job Planner'!E189,'Job Planner'!K189)</f>
        <v/>
      </c>
      <c r="F189" s="16">
        <f>'Job Planner'!F189</f>
        <v>0</v>
      </c>
      <c r="G189" s="16">
        <f>'Job Planner'!G189</f>
        <v>0</v>
      </c>
      <c r="H189" s="16" t="str">
        <f>'Job Planner'!I189</f>
        <v/>
      </c>
      <c r="I189" s="16" t="str">
        <f>'Job Planner'!J189</f>
        <v/>
      </c>
      <c r="J189" s="16" t="e">
        <f>'Job Planner'!N189</f>
        <v>#VALUE!</v>
      </c>
      <c r="K189" s="16" t="str">
        <f>IF(C189="BC",J189*'Mix Design'!$B$4,IF(C189="DBM",J189*'Mix Design'!$C$4,""))</f>
        <v/>
      </c>
      <c r="L189" s="16" t="str">
        <f>IF(C189="BC",J189*'Mix Design'!$B$5,IF(C189="DBM",J189*'Mix Design'!$C$5,""))</f>
        <v/>
      </c>
      <c r="M189" s="16" t="str">
        <f>IF(C189="BC",J189*'Mix Design'!$B$6,IF(C189="DBM",J189*'Mix Design'!$C$6,""))</f>
        <v/>
      </c>
      <c r="N189" s="16" t="str">
        <f>IF(C189="BC",J189*'Mix Design'!$B$7,IF(C189="DBM",J189*'Mix Design'!$C$7,""))</f>
        <v/>
      </c>
      <c r="O189" s="16" t="str">
        <f>IF(C189="BC",J189*'Mix Design'!$B$8,IF(C189="DBM",J189*'Mix Design'!$C$8,""))</f>
        <v/>
      </c>
      <c r="P189" s="16" t="str">
        <f>IF(C189="BC",J189*'Mix Design'!$B$9,IF(C189="DBM",J189*'Mix Design'!$C$9,""))</f>
        <v/>
      </c>
      <c r="Q189" s="16" t="e">
        <f>'Job Planner'!P189</f>
        <v>#VALUE!</v>
      </c>
      <c r="R189" s="16" t="e">
        <f>'Job Planner'!Q189</f>
        <v>#VALUE!</v>
      </c>
      <c r="S189" s="16" t="e">
        <f>'Job Planner'!S189</f>
        <v>#VALUE!</v>
      </c>
      <c r="T189" s="16" t="e">
        <f>'Job Planner'!Z189</f>
        <v>#VALUE!</v>
      </c>
      <c r="U189" s="16" t="e">
        <f>'Job Planner'!AB189</f>
        <v>#VALUE!</v>
      </c>
      <c r="V189" s="16">
        <f>'Job Planner'!AE189</f>
        <v>0</v>
      </c>
      <c r="W189" s="16">
        <f>'Job Planner'!AF189</f>
        <v>0</v>
      </c>
      <c r="X189" s="16" t="e">
        <f>'Job Planner'!AG189</f>
        <v>#VALUE!</v>
      </c>
    </row>
    <row r="190" spans="1:24" x14ac:dyDescent="0.2">
      <c r="A190" s="5">
        <f>'Job Planner'!A190</f>
        <v>0</v>
      </c>
      <c r="B190" s="14">
        <f>'Job Planner'!B190</f>
        <v>0</v>
      </c>
      <c r="C190" s="13">
        <f>'Job Planner'!C190</f>
        <v>0</v>
      </c>
      <c r="D190" s="14">
        <f>'Job Planner'!D190</f>
        <v>0</v>
      </c>
      <c r="E190" s="13" t="str">
        <f>IF('Job Planner'!D190="GEOMETRY",'Job Planner'!E190,'Job Planner'!K190)</f>
        <v/>
      </c>
      <c r="F190" s="16">
        <f>'Job Planner'!F190</f>
        <v>0</v>
      </c>
      <c r="G190" s="16">
        <f>'Job Planner'!G190</f>
        <v>0</v>
      </c>
      <c r="H190" s="16" t="str">
        <f>'Job Planner'!I190</f>
        <v/>
      </c>
      <c r="I190" s="16" t="str">
        <f>'Job Planner'!J190</f>
        <v/>
      </c>
      <c r="J190" s="16" t="e">
        <f>'Job Planner'!N190</f>
        <v>#VALUE!</v>
      </c>
      <c r="K190" s="16" t="str">
        <f>IF(C190="BC",J190*'Mix Design'!$B$4,IF(C190="DBM",J190*'Mix Design'!$C$4,""))</f>
        <v/>
      </c>
      <c r="L190" s="16" t="str">
        <f>IF(C190="BC",J190*'Mix Design'!$B$5,IF(C190="DBM",J190*'Mix Design'!$C$5,""))</f>
        <v/>
      </c>
      <c r="M190" s="16" t="str">
        <f>IF(C190="BC",J190*'Mix Design'!$B$6,IF(C190="DBM",J190*'Mix Design'!$C$6,""))</f>
        <v/>
      </c>
      <c r="N190" s="16" t="str">
        <f>IF(C190="BC",J190*'Mix Design'!$B$7,IF(C190="DBM",J190*'Mix Design'!$C$7,""))</f>
        <v/>
      </c>
      <c r="O190" s="16" t="str">
        <f>IF(C190="BC",J190*'Mix Design'!$B$8,IF(C190="DBM",J190*'Mix Design'!$C$8,""))</f>
        <v/>
      </c>
      <c r="P190" s="16" t="str">
        <f>IF(C190="BC",J190*'Mix Design'!$B$9,IF(C190="DBM",J190*'Mix Design'!$C$9,""))</f>
        <v/>
      </c>
      <c r="Q190" s="16" t="e">
        <f>'Job Planner'!P190</f>
        <v>#VALUE!</v>
      </c>
      <c r="R190" s="16" t="e">
        <f>'Job Planner'!Q190</f>
        <v>#VALUE!</v>
      </c>
      <c r="S190" s="16" t="e">
        <f>'Job Planner'!S190</f>
        <v>#VALUE!</v>
      </c>
      <c r="T190" s="16" t="e">
        <f>'Job Planner'!Z190</f>
        <v>#VALUE!</v>
      </c>
      <c r="U190" s="16" t="e">
        <f>'Job Planner'!AB190</f>
        <v>#VALUE!</v>
      </c>
      <c r="V190" s="16">
        <f>'Job Planner'!AE190</f>
        <v>0</v>
      </c>
      <c r="W190" s="16">
        <f>'Job Planner'!AF190</f>
        <v>0</v>
      </c>
      <c r="X190" s="16" t="e">
        <f>'Job Planner'!AG190</f>
        <v>#VALUE!</v>
      </c>
    </row>
    <row r="191" spans="1:24" x14ac:dyDescent="0.2">
      <c r="A191" s="5">
        <f>'Job Planner'!A191</f>
        <v>0</v>
      </c>
      <c r="B191" s="14">
        <f>'Job Planner'!B191</f>
        <v>0</v>
      </c>
      <c r="C191" s="13">
        <f>'Job Planner'!C191</f>
        <v>0</v>
      </c>
      <c r="D191" s="14">
        <f>'Job Planner'!D191</f>
        <v>0</v>
      </c>
      <c r="E191" s="13" t="str">
        <f>IF('Job Planner'!D191="GEOMETRY",'Job Planner'!E191,'Job Planner'!K191)</f>
        <v/>
      </c>
      <c r="F191" s="16">
        <f>'Job Planner'!F191</f>
        <v>0</v>
      </c>
      <c r="G191" s="16">
        <f>'Job Planner'!G191</f>
        <v>0</v>
      </c>
      <c r="H191" s="16" t="str">
        <f>'Job Planner'!I191</f>
        <v/>
      </c>
      <c r="I191" s="16" t="str">
        <f>'Job Planner'!J191</f>
        <v/>
      </c>
      <c r="J191" s="16" t="e">
        <f>'Job Planner'!N191</f>
        <v>#VALUE!</v>
      </c>
      <c r="K191" s="16" t="str">
        <f>IF(C191="BC",J191*'Mix Design'!$B$4,IF(C191="DBM",J191*'Mix Design'!$C$4,""))</f>
        <v/>
      </c>
      <c r="L191" s="16" t="str">
        <f>IF(C191="BC",J191*'Mix Design'!$B$5,IF(C191="DBM",J191*'Mix Design'!$C$5,""))</f>
        <v/>
      </c>
      <c r="M191" s="16" t="str">
        <f>IF(C191="BC",J191*'Mix Design'!$B$6,IF(C191="DBM",J191*'Mix Design'!$C$6,""))</f>
        <v/>
      </c>
      <c r="N191" s="16" t="str">
        <f>IF(C191="BC",J191*'Mix Design'!$B$7,IF(C191="DBM",J191*'Mix Design'!$C$7,""))</f>
        <v/>
      </c>
      <c r="O191" s="16" t="str">
        <f>IF(C191="BC",J191*'Mix Design'!$B$8,IF(C191="DBM",J191*'Mix Design'!$C$8,""))</f>
        <v/>
      </c>
      <c r="P191" s="16" t="str">
        <f>IF(C191="BC",J191*'Mix Design'!$B$9,IF(C191="DBM",J191*'Mix Design'!$C$9,""))</f>
        <v/>
      </c>
      <c r="Q191" s="16" t="e">
        <f>'Job Planner'!P191</f>
        <v>#VALUE!</v>
      </c>
      <c r="R191" s="16" t="e">
        <f>'Job Planner'!Q191</f>
        <v>#VALUE!</v>
      </c>
      <c r="S191" s="16" t="e">
        <f>'Job Planner'!S191</f>
        <v>#VALUE!</v>
      </c>
      <c r="T191" s="16" t="e">
        <f>'Job Planner'!Z191</f>
        <v>#VALUE!</v>
      </c>
      <c r="U191" s="16" t="e">
        <f>'Job Planner'!AB191</f>
        <v>#VALUE!</v>
      </c>
      <c r="V191" s="16">
        <f>'Job Planner'!AE191</f>
        <v>0</v>
      </c>
      <c r="W191" s="16">
        <f>'Job Planner'!AF191</f>
        <v>0</v>
      </c>
      <c r="X191" s="16" t="e">
        <f>'Job Planner'!AG191</f>
        <v>#VALUE!</v>
      </c>
    </row>
    <row r="192" spans="1:24" x14ac:dyDescent="0.2">
      <c r="A192" s="5">
        <f>'Job Planner'!A192</f>
        <v>0</v>
      </c>
      <c r="B192" s="14">
        <f>'Job Planner'!B192</f>
        <v>0</v>
      </c>
      <c r="C192" s="13">
        <f>'Job Planner'!C192</f>
        <v>0</v>
      </c>
      <c r="D192" s="14">
        <f>'Job Planner'!D192</f>
        <v>0</v>
      </c>
      <c r="E192" s="13" t="str">
        <f>IF('Job Planner'!D192="GEOMETRY",'Job Planner'!E192,'Job Planner'!K192)</f>
        <v/>
      </c>
      <c r="F192" s="16">
        <f>'Job Planner'!F192</f>
        <v>0</v>
      </c>
      <c r="G192" s="16">
        <f>'Job Planner'!G192</f>
        <v>0</v>
      </c>
      <c r="H192" s="16" t="str">
        <f>'Job Planner'!I192</f>
        <v/>
      </c>
      <c r="I192" s="16" t="str">
        <f>'Job Planner'!J192</f>
        <v/>
      </c>
      <c r="J192" s="16" t="e">
        <f>'Job Planner'!N192</f>
        <v>#VALUE!</v>
      </c>
      <c r="K192" s="16" t="str">
        <f>IF(C192="BC",J192*'Mix Design'!$B$4,IF(C192="DBM",J192*'Mix Design'!$C$4,""))</f>
        <v/>
      </c>
      <c r="L192" s="16" t="str">
        <f>IF(C192="BC",J192*'Mix Design'!$B$5,IF(C192="DBM",J192*'Mix Design'!$C$5,""))</f>
        <v/>
      </c>
      <c r="M192" s="16" t="str">
        <f>IF(C192="BC",J192*'Mix Design'!$B$6,IF(C192="DBM",J192*'Mix Design'!$C$6,""))</f>
        <v/>
      </c>
      <c r="N192" s="16" t="str">
        <f>IF(C192="BC",J192*'Mix Design'!$B$7,IF(C192="DBM",J192*'Mix Design'!$C$7,""))</f>
        <v/>
      </c>
      <c r="O192" s="16" t="str">
        <f>IF(C192="BC",J192*'Mix Design'!$B$8,IF(C192="DBM",J192*'Mix Design'!$C$8,""))</f>
        <v/>
      </c>
      <c r="P192" s="16" t="str">
        <f>IF(C192="BC",J192*'Mix Design'!$B$9,IF(C192="DBM",J192*'Mix Design'!$C$9,""))</f>
        <v/>
      </c>
      <c r="Q192" s="16" t="e">
        <f>'Job Planner'!P192</f>
        <v>#VALUE!</v>
      </c>
      <c r="R192" s="16" t="e">
        <f>'Job Planner'!Q192</f>
        <v>#VALUE!</v>
      </c>
      <c r="S192" s="16" t="e">
        <f>'Job Planner'!S192</f>
        <v>#VALUE!</v>
      </c>
      <c r="T192" s="16" t="e">
        <f>'Job Planner'!Z192</f>
        <v>#VALUE!</v>
      </c>
      <c r="U192" s="16" t="e">
        <f>'Job Planner'!AB192</f>
        <v>#VALUE!</v>
      </c>
      <c r="V192" s="16">
        <f>'Job Planner'!AE192</f>
        <v>0</v>
      </c>
      <c r="W192" s="16">
        <f>'Job Planner'!AF192</f>
        <v>0</v>
      </c>
      <c r="X192" s="16" t="e">
        <f>'Job Planner'!AG192</f>
        <v>#VALUE!</v>
      </c>
    </row>
    <row r="193" spans="1:24" x14ac:dyDescent="0.2">
      <c r="A193" s="5">
        <f>'Job Planner'!A193</f>
        <v>0</v>
      </c>
      <c r="B193" s="14">
        <f>'Job Planner'!B193</f>
        <v>0</v>
      </c>
      <c r="C193" s="13">
        <f>'Job Planner'!C193</f>
        <v>0</v>
      </c>
      <c r="D193" s="14">
        <f>'Job Planner'!D193</f>
        <v>0</v>
      </c>
      <c r="E193" s="13" t="str">
        <f>IF('Job Planner'!D193="GEOMETRY",'Job Planner'!E193,'Job Planner'!K193)</f>
        <v/>
      </c>
      <c r="F193" s="16">
        <f>'Job Planner'!F193</f>
        <v>0</v>
      </c>
      <c r="G193" s="16">
        <f>'Job Planner'!G193</f>
        <v>0</v>
      </c>
      <c r="H193" s="16" t="str">
        <f>'Job Planner'!I193</f>
        <v/>
      </c>
      <c r="I193" s="16" t="str">
        <f>'Job Planner'!J193</f>
        <v/>
      </c>
      <c r="J193" s="16" t="e">
        <f>'Job Planner'!N193</f>
        <v>#VALUE!</v>
      </c>
      <c r="K193" s="16" t="str">
        <f>IF(C193="BC",J193*'Mix Design'!$B$4,IF(C193="DBM",J193*'Mix Design'!$C$4,""))</f>
        <v/>
      </c>
      <c r="L193" s="16" t="str">
        <f>IF(C193="BC",J193*'Mix Design'!$B$5,IF(C193="DBM",J193*'Mix Design'!$C$5,""))</f>
        <v/>
      </c>
      <c r="M193" s="16" t="str">
        <f>IF(C193="BC",J193*'Mix Design'!$B$6,IF(C193="DBM",J193*'Mix Design'!$C$6,""))</f>
        <v/>
      </c>
      <c r="N193" s="16" t="str">
        <f>IF(C193="BC",J193*'Mix Design'!$B$7,IF(C193="DBM",J193*'Mix Design'!$C$7,""))</f>
        <v/>
      </c>
      <c r="O193" s="16" t="str">
        <f>IF(C193="BC",J193*'Mix Design'!$B$8,IF(C193="DBM",J193*'Mix Design'!$C$8,""))</f>
        <v/>
      </c>
      <c r="P193" s="16" t="str">
        <f>IF(C193="BC",J193*'Mix Design'!$B$9,IF(C193="DBM",J193*'Mix Design'!$C$9,""))</f>
        <v/>
      </c>
      <c r="Q193" s="16" t="e">
        <f>'Job Planner'!P193</f>
        <v>#VALUE!</v>
      </c>
      <c r="R193" s="16" t="e">
        <f>'Job Planner'!Q193</f>
        <v>#VALUE!</v>
      </c>
      <c r="S193" s="16" t="e">
        <f>'Job Planner'!S193</f>
        <v>#VALUE!</v>
      </c>
      <c r="T193" s="16" t="e">
        <f>'Job Planner'!Z193</f>
        <v>#VALUE!</v>
      </c>
      <c r="U193" s="16" t="e">
        <f>'Job Planner'!AB193</f>
        <v>#VALUE!</v>
      </c>
      <c r="V193" s="16">
        <f>'Job Planner'!AE193</f>
        <v>0</v>
      </c>
      <c r="W193" s="16">
        <f>'Job Planner'!AF193</f>
        <v>0</v>
      </c>
      <c r="X193" s="16" t="e">
        <f>'Job Planner'!AG193</f>
        <v>#VALUE!</v>
      </c>
    </row>
    <row r="194" spans="1:24" x14ac:dyDescent="0.2">
      <c r="A194" s="5">
        <f>'Job Planner'!A194</f>
        <v>0</v>
      </c>
      <c r="B194" s="14">
        <f>'Job Planner'!B194</f>
        <v>0</v>
      </c>
      <c r="C194" s="13">
        <f>'Job Planner'!C194</f>
        <v>0</v>
      </c>
      <c r="D194" s="14">
        <f>'Job Planner'!D194</f>
        <v>0</v>
      </c>
      <c r="E194" s="13" t="str">
        <f>IF('Job Planner'!D194="GEOMETRY",'Job Planner'!E194,'Job Planner'!K194)</f>
        <v/>
      </c>
      <c r="F194" s="16">
        <f>'Job Planner'!F194</f>
        <v>0</v>
      </c>
      <c r="G194" s="16">
        <f>'Job Planner'!G194</f>
        <v>0</v>
      </c>
      <c r="H194" s="16" t="str">
        <f>'Job Planner'!I194</f>
        <v/>
      </c>
      <c r="I194" s="16" t="str">
        <f>'Job Planner'!J194</f>
        <v/>
      </c>
      <c r="J194" s="16" t="e">
        <f>'Job Planner'!N194</f>
        <v>#VALUE!</v>
      </c>
      <c r="K194" s="16" t="str">
        <f>IF(C194="BC",J194*'Mix Design'!$B$4,IF(C194="DBM",J194*'Mix Design'!$C$4,""))</f>
        <v/>
      </c>
      <c r="L194" s="16" t="str">
        <f>IF(C194="BC",J194*'Mix Design'!$B$5,IF(C194="DBM",J194*'Mix Design'!$C$5,""))</f>
        <v/>
      </c>
      <c r="M194" s="16" t="str">
        <f>IF(C194="BC",J194*'Mix Design'!$B$6,IF(C194="DBM",J194*'Mix Design'!$C$6,""))</f>
        <v/>
      </c>
      <c r="N194" s="16" t="str">
        <f>IF(C194="BC",J194*'Mix Design'!$B$7,IF(C194="DBM",J194*'Mix Design'!$C$7,""))</f>
        <v/>
      </c>
      <c r="O194" s="16" t="str">
        <f>IF(C194="BC",J194*'Mix Design'!$B$8,IF(C194="DBM",J194*'Mix Design'!$C$8,""))</f>
        <v/>
      </c>
      <c r="P194" s="16" t="str">
        <f>IF(C194="BC",J194*'Mix Design'!$B$9,IF(C194="DBM",J194*'Mix Design'!$C$9,""))</f>
        <v/>
      </c>
      <c r="Q194" s="16" t="e">
        <f>'Job Planner'!P194</f>
        <v>#VALUE!</v>
      </c>
      <c r="R194" s="16" t="e">
        <f>'Job Planner'!Q194</f>
        <v>#VALUE!</v>
      </c>
      <c r="S194" s="16" t="e">
        <f>'Job Planner'!S194</f>
        <v>#VALUE!</v>
      </c>
      <c r="T194" s="16" t="e">
        <f>'Job Planner'!Z194</f>
        <v>#VALUE!</v>
      </c>
      <c r="U194" s="16" t="e">
        <f>'Job Planner'!AB194</f>
        <v>#VALUE!</v>
      </c>
      <c r="V194" s="16">
        <f>'Job Planner'!AE194</f>
        <v>0</v>
      </c>
      <c r="W194" s="16">
        <f>'Job Planner'!AF194</f>
        <v>0</v>
      </c>
      <c r="X194" s="16" t="e">
        <f>'Job Planner'!AG194</f>
        <v>#VALUE!</v>
      </c>
    </row>
    <row r="195" spans="1:24" x14ac:dyDescent="0.2">
      <c r="A195" s="5">
        <f>'Job Planner'!A195</f>
        <v>0</v>
      </c>
      <c r="B195" s="14">
        <f>'Job Planner'!B195</f>
        <v>0</v>
      </c>
      <c r="C195" s="13">
        <f>'Job Planner'!C195</f>
        <v>0</v>
      </c>
      <c r="D195" s="14">
        <f>'Job Planner'!D195</f>
        <v>0</v>
      </c>
      <c r="E195" s="13" t="str">
        <f>IF('Job Planner'!D195="GEOMETRY",'Job Planner'!E195,'Job Planner'!K195)</f>
        <v/>
      </c>
      <c r="F195" s="16">
        <f>'Job Planner'!F195</f>
        <v>0</v>
      </c>
      <c r="G195" s="16">
        <f>'Job Planner'!G195</f>
        <v>0</v>
      </c>
      <c r="H195" s="16" t="str">
        <f>'Job Planner'!I195</f>
        <v/>
      </c>
      <c r="I195" s="16" t="str">
        <f>'Job Planner'!J195</f>
        <v/>
      </c>
      <c r="J195" s="16" t="e">
        <f>'Job Planner'!N195</f>
        <v>#VALUE!</v>
      </c>
      <c r="K195" s="16" t="str">
        <f>IF(C195="BC",J195*'Mix Design'!$B$4,IF(C195="DBM",J195*'Mix Design'!$C$4,""))</f>
        <v/>
      </c>
      <c r="L195" s="16" t="str">
        <f>IF(C195="BC",J195*'Mix Design'!$B$5,IF(C195="DBM",J195*'Mix Design'!$C$5,""))</f>
        <v/>
      </c>
      <c r="M195" s="16" t="str">
        <f>IF(C195="BC",J195*'Mix Design'!$B$6,IF(C195="DBM",J195*'Mix Design'!$C$6,""))</f>
        <v/>
      </c>
      <c r="N195" s="16" t="str">
        <f>IF(C195="BC",J195*'Mix Design'!$B$7,IF(C195="DBM",J195*'Mix Design'!$C$7,""))</f>
        <v/>
      </c>
      <c r="O195" s="16" t="str">
        <f>IF(C195="BC",J195*'Mix Design'!$B$8,IF(C195="DBM",J195*'Mix Design'!$C$8,""))</f>
        <v/>
      </c>
      <c r="P195" s="16" t="str">
        <f>IF(C195="BC",J195*'Mix Design'!$B$9,IF(C195="DBM",J195*'Mix Design'!$C$9,""))</f>
        <v/>
      </c>
      <c r="Q195" s="16" t="e">
        <f>'Job Planner'!P195</f>
        <v>#VALUE!</v>
      </c>
      <c r="R195" s="16" t="e">
        <f>'Job Planner'!Q195</f>
        <v>#VALUE!</v>
      </c>
      <c r="S195" s="16" t="e">
        <f>'Job Planner'!S195</f>
        <v>#VALUE!</v>
      </c>
      <c r="T195" s="16" t="e">
        <f>'Job Planner'!Z195</f>
        <v>#VALUE!</v>
      </c>
      <c r="U195" s="16" t="e">
        <f>'Job Planner'!AB195</f>
        <v>#VALUE!</v>
      </c>
      <c r="V195" s="16">
        <f>'Job Planner'!AE195</f>
        <v>0</v>
      </c>
      <c r="W195" s="16">
        <f>'Job Planner'!AF195</f>
        <v>0</v>
      </c>
      <c r="X195" s="16" t="e">
        <f>'Job Planner'!AG195</f>
        <v>#VALUE!</v>
      </c>
    </row>
    <row r="196" spans="1:24" x14ac:dyDescent="0.2">
      <c r="A196" s="5">
        <f>'Job Planner'!A196</f>
        <v>0</v>
      </c>
      <c r="B196" s="14">
        <f>'Job Planner'!B196</f>
        <v>0</v>
      </c>
      <c r="C196" s="13">
        <f>'Job Planner'!C196</f>
        <v>0</v>
      </c>
      <c r="D196" s="14">
        <f>'Job Planner'!D196</f>
        <v>0</v>
      </c>
      <c r="E196" s="13" t="str">
        <f>IF('Job Planner'!D196="GEOMETRY",'Job Planner'!E196,'Job Planner'!K196)</f>
        <v/>
      </c>
      <c r="F196" s="16">
        <f>'Job Planner'!F196</f>
        <v>0</v>
      </c>
      <c r="G196" s="16">
        <f>'Job Planner'!G196</f>
        <v>0</v>
      </c>
      <c r="H196" s="16" t="str">
        <f>'Job Planner'!I196</f>
        <v/>
      </c>
      <c r="I196" s="16" t="str">
        <f>'Job Planner'!J196</f>
        <v/>
      </c>
      <c r="J196" s="16" t="e">
        <f>'Job Planner'!N196</f>
        <v>#VALUE!</v>
      </c>
      <c r="K196" s="16" t="str">
        <f>IF(C196="BC",J196*'Mix Design'!$B$4,IF(C196="DBM",J196*'Mix Design'!$C$4,""))</f>
        <v/>
      </c>
      <c r="L196" s="16" t="str">
        <f>IF(C196="BC",J196*'Mix Design'!$B$5,IF(C196="DBM",J196*'Mix Design'!$C$5,""))</f>
        <v/>
      </c>
      <c r="M196" s="16" t="str">
        <f>IF(C196="BC",J196*'Mix Design'!$B$6,IF(C196="DBM",J196*'Mix Design'!$C$6,""))</f>
        <v/>
      </c>
      <c r="N196" s="16" t="str">
        <f>IF(C196="BC",J196*'Mix Design'!$B$7,IF(C196="DBM",J196*'Mix Design'!$C$7,""))</f>
        <v/>
      </c>
      <c r="O196" s="16" t="str">
        <f>IF(C196="BC",J196*'Mix Design'!$B$8,IF(C196="DBM",J196*'Mix Design'!$C$8,""))</f>
        <v/>
      </c>
      <c r="P196" s="16" t="str">
        <f>IF(C196="BC",J196*'Mix Design'!$B$9,IF(C196="DBM",J196*'Mix Design'!$C$9,""))</f>
        <v/>
      </c>
      <c r="Q196" s="16" t="e">
        <f>'Job Planner'!P196</f>
        <v>#VALUE!</v>
      </c>
      <c r="R196" s="16" t="e">
        <f>'Job Planner'!Q196</f>
        <v>#VALUE!</v>
      </c>
      <c r="S196" s="16" t="e">
        <f>'Job Planner'!S196</f>
        <v>#VALUE!</v>
      </c>
      <c r="T196" s="16" t="e">
        <f>'Job Planner'!Z196</f>
        <v>#VALUE!</v>
      </c>
      <c r="U196" s="16" t="e">
        <f>'Job Planner'!AB196</f>
        <v>#VALUE!</v>
      </c>
      <c r="V196" s="16">
        <f>'Job Planner'!AE196</f>
        <v>0</v>
      </c>
      <c r="W196" s="16">
        <f>'Job Planner'!AF196</f>
        <v>0</v>
      </c>
      <c r="X196" s="16" t="e">
        <f>'Job Planner'!AG196</f>
        <v>#VALUE!</v>
      </c>
    </row>
    <row r="197" spans="1:24" x14ac:dyDescent="0.2">
      <c r="A197" s="5">
        <f>'Job Planner'!A197</f>
        <v>0</v>
      </c>
      <c r="B197" s="14">
        <f>'Job Planner'!B197</f>
        <v>0</v>
      </c>
      <c r="C197" s="13">
        <f>'Job Planner'!C197</f>
        <v>0</v>
      </c>
      <c r="D197" s="14">
        <f>'Job Planner'!D197</f>
        <v>0</v>
      </c>
      <c r="E197" s="13" t="str">
        <f>IF('Job Planner'!D197="GEOMETRY",'Job Planner'!E197,'Job Planner'!K197)</f>
        <v/>
      </c>
      <c r="F197" s="16">
        <f>'Job Planner'!F197</f>
        <v>0</v>
      </c>
      <c r="G197" s="16">
        <f>'Job Planner'!G197</f>
        <v>0</v>
      </c>
      <c r="H197" s="16" t="str">
        <f>'Job Planner'!I197</f>
        <v/>
      </c>
      <c r="I197" s="16" t="str">
        <f>'Job Planner'!J197</f>
        <v/>
      </c>
      <c r="J197" s="16" t="e">
        <f>'Job Planner'!N197</f>
        <v>#VALUE!</v>
      </c>
      <c r="K197" s="16" t="str">
        <f>IF(C197="BC",J197*'Mix Design'!$B$4,IF(C197="DBM",J197*'Mix Design'!$C$4,""))</f>
        <v/>
      </c>
      <c r="L197" s="16" t="str">
        <f>IF(C197="BC",J197*'Mix Design'!$B$5,IF(C197="DBM",J197*'Mix Design'!$C$5,""))</f>
        <v/>
      </c>
      <c r="M197" s="16" t="str">
        <f>IF(C197="BC",J197*'Mix Design'!$B$6,IF(C197="DBM",J197*'Mix Design'!$C$6,""))</f>
        <v/>
      </c>
      <c r="N197" s="16" t="str">
        <f>IF(C197="BC",J197*'Mix Design'!$B$7,IF(C197="DBM",J197*'Mix Design'!$C$7,""))</f>
        <v/>
      </c>
      <c r="O197" s="16" t="str">
        <f>IF(C197="BC",J197*'Mix Design'!$B$8,IF(C197="DBM",J197*'Mix Design'!$C$8,""))</f>
        <v/>
      </c>
      <c r="P197" s="16" t="str">
        <f>IF(C197="BC",J197*'Mix Design'!$B$9,IF(C197="DBM",J197*'Mix Design'!$C$9,""))</f>
        <v/>
      </c>
      <c r="Q197" s="16" t="e">
        <f>'Job Planner'!P197</f>
        <v>#VALUE!</v>
      </c>
      <c r="R197" s="16" t="e">
        <f>'Job Planner'!Q197</f>
        <v>#VALUE!</v>
      </c>
      <c r="S197" s="16" t="e">
        <f>'Job Planner'!S197</f>
        <v>#VALUE!</v>
      </c>
      <c r="T197" s="16" t="e">
        <f>'Job Planner'!Z197</f>
        <v>#VALUE!</v>
      </c>
      <c r="U197" s="16" t="e">
        <f>'Job Planner'!AB197</f>
        <v>#VALUE!</v>
      </c>
      <c r="V197" s="16">
        <f>'Job Planner'!AE197</f>
        <v>0</v>
      </c>
      <c r="W197" s="16">
        <f>'Job Planner'!AF197</f>
        <v>0</v>
      </c>
      <c r="X197" s="16" t="e">
        <f>'Job Planner'!AG197</f>
        <v>#VALUE!</v>
      </c>
    </row>
    <row r="198" spans="1:24" x14ac:dyDescent="0.2">
      <c r="A198" s="5">
        <f>'Job Planner'!A198</f>
        <v>0</v>
      </c>
      <c r="B198" s="14">
        <f>'Job Planner'!B198</f>
        <v>0</v>
      </c>
      <c r="C198" s="13">
        <f>'Job Planner'!C198</f>
        <v>0</v>
      </c>
      <c r="D198" s="14">
        <f>'Job Planner'!D198</f>
        <v>0</v>
      </c>
      <c r="E198" s="13" t="str">
        <f>IF('Job Planner'!D198="GEOMETRY",'Job Planner'!E198,'Job Planner'!K198)</f>
        <v/>
      </c>
      <c r="F198" s="16">
        <f>'Job Planner'!F198</f>
        <v>0</v>
      </c>
      <c r="G198" s="16">
        <f>'Job Planner'!G198</f>
        <v>0</v>
      </c>
      <c r="H198" s="16" t="str">
        <f>'Job Planner'!I198</f>
        <v/>
      </c>
      <c r="I198" s="16" t="str">
        <f>'Job Planner'!J198</f>
        <v/>
      </c>
      <c r="J198" s="16" t="e">
        <f>'Job Planner'!N198</f>
        <v>#VALUE!</v>
      </c>
      <c r="K198" s="16" t="str">
        <f>IF(C198="BC",J198*'Mix Design'!$B$4,IF(C198="DBM",J198*'Mix Design'!$C$4,""))</f>
        <v/>
      </c>
      <c r="L198" s="16" t="str">
        <f>IF(C198="BC",J198*'Mix Design'!$B$5,IF(C198="DBM",J198*'Mix Design'!$C$5,""))</f>
        <v/>
      </c>
      <c r="M198" s="16" t="str">
        <f>IF(C198="BC",J198*'Mix Design'!$B$6,IF(C198="DBM",J198*'Mix Design'!$C$6,""))</f>
        <v/>
      </c>
      <c r="N198" s="16" t="str">
        <f>IF(C198="BC",J198*'Mix Design'!$B$7,IF(C198="DBM",J198*'Mix Design'!$C$7,""))</f>
        <v/>
      </c>
      <c r="O198" s="16" t="str">
        <f>IF(C198="BC",J198*'Mix Design'!$B$8,IF(C198="DBM",J198*'Mix Design'!$C$8,""))</f>
        <v/>
      </c>
      <c r="P198" s="16" t="str">
        <f>IF(C198="BC",J198*'Mix Design'!$B$9,IF(C198="DBM",J198*'Mix Design'!$C$9,""))</f>
        <v/>
      </c>
      <c r="Q198" s="16" t="e">
        <f>'Job Planner'!P198</f>
        <v>#VALUE!</v>
      </c>
      <c r="R198" s="16" t="e">
        <f>'Job Planner'!Q198</f>
        <v>#VALUE!</v>
      </c>
      <c r="S198" s="16" t="e">
        <f>'Job Planner'!S198</f>
        <v>#VALUE!</v>
      </c>
      <c r="T198" s="16" t="e">
        <f>'Job Planner'!Z198</f>
        <v>#VALUE!</v>
      </c>
      <c r="U198" s="16" t="e">
        <f>'Job Planner'!AB198</f>
        <v>#VALUE!</v>
      </c>
      <c r="V198" s="16">
        <f>'Job Planner'!AE198</f>
        <v>0</v>
      </c>
      <c r="W198" s="16">
        <f>'Job Planner'!AF198</f>
        <v>0</v>
      </c>
      <c r="X198" s="16" t="e">
        <f>'Job Planner'!AG198</f>
        <v>#VALUE!</v>
      </c>
    </row>
    <row r="199" spans="1:24" x14ac:dyDescent="0.2">
      <c r="A199" s="5">
        <f>'Job Planner'!A199</f>
        <v>0</v>
      </c>
      <c r="B199" s="14">
        <f>'Job Planner'!B199</f>
        <v>0</v>
      </c>
      <c r="C199" s="13">
        <f>'Job Planner'!C199</f>
        <v>0</v>
      </c>
      <c r="D199" s="14">
        <f>'Job Planner'!D199</f>
        <v>0</v>
      </c>
      <c r="E199" s="13" t="str">
        <f>IF('Job Planner'!D199="GEOMETRY",'Job Planner'!E199,'Job Planner'!K199)</f>
        <v/>
      </c>
      <c r="F199" s="16">
        <f>'Job Planner'!F199</f>
        <v>0</v>
      </c>
      <c r="G199" s="16">
        <f>'Job Planner'!G199</f>
        <v>0</v>
      </c>
      <c r="H199" s="16" t="str">
        <f>'Job Planner'!I199</f>
        <v/>
      </c>
      <c r="I199" s="16" t="str">
        <f>'Job Planner'!J199</f>
        <v/>
      </c>
      <c r="J199" s="16" t="e">
        <f>'Job Planner'!N199</f>
        <v>#VALUE!</v>
      </c>
      <c r="K199" s="16" t="str">
        <f>IF(C199="BC",J199*'Mix Design'!$B$4,IF(C199="DBM",J199*'Mix Design'!$C$4,""))</f>
        <v/>
      </c>
      <c r="L199" s="16" t="str">
        <f>IF(C199="BC",J199*'Mix Design'!$B$5,IF(C199="DBM",J199*'Mix Design'!$C$5,""))</f>
        <v/>
      </c>
      <c r="M199" s="16" t="str">
        <f>IF(C199="BC",J199*'Mix Design'!$B$6,IF(C199="DBM",J199*'Mix Design'!$C$6,""))</f>
        <v/>
      </c>
      <c r="N199" s="16" t="str">
        <f>IF(C199="BC",J199*'Mix Design'!$B$7,IF(C199="DBM",J199*'Mix Design'!$C$7,""))</f>
        <v/>
      </c>
      <c r="O199" s="16" t="str">
        <f>IF(C199="BC",J199*'Mix Design'!$B$8,IF(C199="DBM",J199*'Mix Design'!$C$8,""))</f>
        <v/>
      </c>
      <c r="P199" s="16" t="str">
        <f>IF(C199="BC",J199*'Mix Design'!$B$9,IF(C199="DBM",J199*'Mix Design'!$C$9,""))</f>
        <v/>
      </c>
      <c r="Q199" s="16" t="e">
        <f>'Job Planner'!P199</f>
        <v>#VALUE!</v>
      </c>
      <c r="R199" s="16" t="e">
        <f>'Job Planner'!Q199</f>
        <v>#VALUE!</v>
      </c>
      <c r="S199" s="16" t="e">
        <f>'Job Planner'!S199</f>
        <v>#VALUE!</v>
      </c>
      <c r="T199" s="16" t="e">
        <f>'Job Planner'!Z199</f>
        <v>#VALUE!</v>
      </c>
      <c r="U199" s="16" t="e">
        <f>'Job Planner'!AB199</f>
        <v>#VALUE!</v>
      </c>
      <c r="V199" s="16">
        <f>'Job Planner'!AE199</f>
        <v>0</v>
      </c>
      <c r="W199" s="16">
        <f>'Job Planner'!AF199</f>
        <v>0</v>
      </c>
      <c r="X199" s="16" t="e">
        <f>'Job Planner'!AG199</f>
        <v>#VALUE!</v>
      </c>
    </row>
    <row r="200" spans="1:24" x14ac:dyDescent="0.2">
      <c r="A200" s="5">
        <f>'Job Planner'!A200</f>
        <v>0</v>
      </c>
      <c r="B200" s="14">
        <f>'Job Planner'!B200</f>
        <v>0</v>
      </c>
      <c r="C200" s="13">
        <f>'Job Planner'!C200</f>
        <v>0</v>
      </c>
      <c r="D200" s="14">
        <f>'Job Planner'!D200</f>
        <v>0</v>
      </c>
      <c r="E200" s="13" t="str">
        <f>IF('Job Planner'!D200="GEOMETRY",'Job Planner'!E200,'Job Planner'!K200)</f>
        <v/>
      </c>
      <c r="F200" s="16">
        <f>'Job Planner'!F200</f>
        <v>0</v>
      </c>
      <c r="G200" s="16">
        <f>'Job Planner'!G200</f>
        <v>0</v>
      </c>
      <c r="H200" s="16" t="str">
        <f>'Job Planner'!I200</f>
        <v/>
      </c>
      <c r="I200" s="16" t="str">
        <f>'Job Planner'!J200</f>
        <v/>
      </c>
      <c r="J200" s="16" t="e">
        <f>'Job Planner'!N200</f>
        <v>#VALUE!</v>
      </c>
      <c r="K200" s="16" t="str">
        <f>IF(C200="BC",J200*'Mix Design'!$B$4,IF(C200="DBM",J200*'Mix Design'!$C$4,""))</f>
        <v/>
      </c>
      <c r="L200" s="16" t="str">
        <f>IF(C200="BC",J200*'Mix Design'!$B$5,IF(C200="DBM",J200*'Mix Design'!$C$5,""))</f>
        <v/>
      </c>
      <c r="M200" s="16" t="str">
        <f>IF(C200="BC",J200*'Mix Design'!$B$6,IF(C200="DBM",J200*'Mix Design'!$C$6,""))</f>
        <v/>
      </c>
      <c r="N200" s="16" t="str">
        <f>IF(C200="BC",J200*'Mix Design'!$B$7,IF(C200="DBM",J200*'Mix Design'!$C$7,""))</f>
        <v/>
      </c>
      <c r="O200" s="16" t="str">
        <f>IF(C200="BC",J200*'Mix Design'!$B$8,IF(C200="DBM",J200*'Mix Design'!$C$8,""))</f>
        <v/>
      </c>
      <c r="P200" s="16" t="str">
        <f>IF(C200="BC",J200*'Mix Design'!$B$9,IF(C200="DBM",J200*'Mix Design'!$C$9,""))</f>
        <v/>
      </c>
      <c r="Q200" s="16" t="e">
        <f>'Job Planner'!P200</f>
        <v>#VALUE!</v>
      </c>
      <c r="R200" s="16" t="e">
        <f>'Job Planner'!Q200</f>
        <v>#VALUE!</v>
      </c>
      <c r="S200" s="16" t="e">
        <f>'Job Planner'!S200</f>
        <v>#VALUE!</v>
      </c>
      <c r="T200" s="16" t="e">
        <f>'Job Planner'!Z200</f>
        <v>#VALUE!</v>
      </c>
      <c r="U200" s="16" t="e">
        <f>'Job Planner'!AB200</f>
        <v>#VALUE!</v>
      </c>
      <c r="V200" s="16">
        <f>'Job Planner'!AE200</f>
        <v>0</v>
      </c>
      <c r="W200" s="16">
        <f>'Job Planner'!AF200</f>
        <v>0</v>
      </c>
      <c r="X200" s="16" t="e">
        <f>'Job Planner'!AG200</f>
        <v>#VALUE!</v>
      </c>
    </row>
    <row r="201" spans="1:24" x14ac:dyDescent="0.2">
      <c r="A201" s="5">
        <f>'Job Planner'!A201</f>
        <v>0</v>
      </c>
      <c r="B201" s="14">
        <f>'Job Planner'!B201</f>
        <v>0</v>
      </c>
      <c r="C201" s="13">
        <f>'Job Planner'!C201</f>
        <v>0</v>
      </c>
      <c r="D201" s="14">
        <f>'Job Planner'!D201</f>
        <v>0</v>
      </c>
      <c r="E201" s="13" t="str">
        <f>IF('Job Planner'!D201="GEOMETRY",'Job Planner'!E201,'Job Planner'!K201)</f>
        <v/>
      </c>
      <c r="F201" s="16">
        <f>'Job Planner'!F201</f>
        <v>0</v>
      </c>
      <c r="G201" s="16">
        <f>'Job Planner'!G201</f>
        <v>0</v>
      </c>
      <c r="H201" s="16" t="str">
        <f>'Job Planner'!I201</f>
        <v/>
      </c>
      <c r="I201" s="16" t="str">
        <f>'Job Planner'!J201</f>
        <v/>
      </c>
      <c r="J201" s="16" t="e">
        <f>'Job Planner'!N201</f>
        <v>#VALUE!</v>
      </c>
      <c r="K201" s="16" t="str">
        <f>IF(C201="BC",J201*'Mix Design'!$B$4,IF(C201="DBM",J201*'Mix Design'!$C$4,""))</f>
        <v/>
      </c>
      <c r="L201" s="16" t="str">
        <f>IF(C201="BC",J201*'Mix Design'!$B$5,IF(C201="DBM",J201*'Mix Design'!$C$5,""))</f>
        <v/>
      </c>
      <c r="M201" s="16" t="str">
        <f>IF(C201="BC",J201*'Mix Design'!$B$6,IF(C201="DBM",J201*'Mix Design'!$C$6,""))</f>
        <v/>
      </c>
      <c r="N201" s="16" t="str">
        <f>IF(C201="BC",J201*'Mix Design'!$B$7,IF(C201="DBM",J201*'Mix Design'!$C$7,""))</f>
        <v/>
      </c>
      <c r="O201" s="16" t="str">
        <f>IF(C201="BC",J201*'Mix Design'!$B$8,IF(C201="DBM",J201*'Mix Design'!$C$8,""))</f>
        <v/>
      </c>
      <c r="P201" s="16" t="str">
        <f>IF(C201="BC",J201*'Mix Design'!$B$9,IF(C201="DBM",J201*'Mix Design'!$C$9,""))</f>
        <v/>
      </c>
      <c r="Q201" s="16" t="e">
        <f>'Job Planner'!P201</f>
        <v>#VALUE!</v>
      </c>
      <c r="R201" s="16" t="e">
        <f>'Job Planner'!Q201</f>
        <v>#VALUE!</v>
      </c>
      <c r="S201" s="16" t="e">
        <f>'Job Planner'!S201</f>
        <v>#VALUE!</v>
      </c>
      <c r="T201" s="16" t="e">
        <f>'Job Planner'!Z201</f>
        <v>#VALUE!</v>
      </c>
      <c r="U201" s="16" t="e">
        <f>'Job Planner'!AB201</f>
        <v>#VALUE!</v>
      </c>
      <c r="V201" s="16">
        <f>'Job Planner'!AE201</f>
        <v>0</v>
      </c>
      <c r="W201" s="16">
        <f>'Job Planner'!AF201</f>
        <v>0</v>
      </c>
      <c r="X201" s="16" t="e">
        <f>'Job Planner'!AG201</f>
        <v>#VALUE!</v>
      </c>
    </row>
    <row r="202" spans="1:24" x14ac:dyDescent="0.2">
      <c r="A202" s="5">
        <f>'Job Planner'!A202</f>
        <v>0</v>
      </c>
      <c r="B202" s="14">
        <f>'Job Planner'!B202</f>
        <v>0</v>
      </c>
      <c r="C202" s="13">
        <f>'Job Planner'!C202</f>
        <v>0</v>
      </c>
      <c r="D202" s="14">
        <f>'Job Planner'!D202</f>
        <v>0</v>
      </c>
      <c r="E202" s="13" t="str">
        <f>IF('Job Planner'!D202="GEOMETRY",'Job Planner'!E202,'Job Planner'!K202)</f>
        <v/>
      </c>
      <c r="F202" s="16">
        <f>'Job Planner'!F202</f>
        <v>0</v>
      </c>
      <c r="G202" s="16">
        <f>'Job Planner'!G202</f>
        <v>0</v>
      </c>
      <c r="H202" s="16" t="str">
        <f>'Job Planner'!I202</f>
        <v/>
      </c>
      <c r="I202" s="16" t="str">
        <f>'Job Planner'!J202</f>
        <v/>
      </c>
      <c r="J202" s="16" t="e">
        <f>'Job Planner'!N202</f>
        <v>#VALUE!</v>
      </c>
      <c r="K202" s="16" t="str">
        <f>IF(C202="BC",J202*'Mix Design'!$B$4,IF(C202="DBM",J202*'Mix Design'!$C$4,""))</f>
        <v/>
      </c>
      <c r="L202" s="16" t="str">
        <f>IF(C202="BC",J202*'Mix Design'!$B$5,IF(C202="DBM",J202*'Mix Design'!$C$5,""))</f>
        <v/>
      </c>
      <c r="M202" s="16" t="str">
        <f>IF(C202="BC",J202*'Mix Design'!$B$6,IF(C202="DBM",J202*'Mix Design'!$C$6,""))</f>
        <v/>
      </c>
      <c r="N202" s="16" t="str">
        <f>IF(C202="BC",J202*'Mix Design'!$B$7,IF(C202="DBM",J202*'Mix Design'!$C$7,""))</f>
        <v/>
      </c>
      <c r="O202" s="16" t="str">
        <f>IF(C202="BC",J202*'Mix Design'!$B$8,IF(C202="DBM",J202*'Mix Design'!$C$8,""))</f>
        <v/>
      </c>
      <c r="P202" s="16" t="str">
        <f>IF(C202="BC",J202*'Mix Design'!$B$9,IF(C202="DBM",J202*'Mix Design'!$C$9,""))</f>
        <v/>
      </c>
      <c r="Q202" s="16" t="e">
        <f>'Job Planner'!P202</f>
        <v>#VALUE!</v>
      </c>
      <c r="R202" s="16" t="e">
        <f>'Job Planner'!Q202</f>
        <v>#VALUE!</v>
      </c>
      <c r="S202" s="16" t="e">
        <f>'Job Planner'!S202</f>
        <v>#VALUE!</v>
      </c>
      <c r="T202" s="16" t="e">
        <f>'Job Planner'!Z202</f>
        <v>#VALUE!</v>
      </c>
      <c r="U202" s="16" t="e">
        <f>'Job Planner'!AB202</f>
        <v>#VALUE!</v>
      </c>
      <c r="V202" s="16">
        <f>'Job Planner'!AE202</f>
        <v>0</v>
      </c>
      <c r="W202" s="16">
        <f>'Job Planner'!AF202</f>
        <v>0</v>
      </c>
      <c r="X202" s="16" t="e">
        <f>'Job Planner'!AG202</f>
        <v>#VALUE!</v>
      </c>
    </row>
    <row r="203" spans="1:24" x14ac:dyDescent="0.2">
      <c r="A203" s="5">
        <f>'Job Planner'!A203</f>
        <v>0</v>
      </c>
      <c r="B203" s="14">
        <f>'Job Planner'!B203</f>
        <v>0</v>
      </c>
      <c r="C203" s="13">
        <f>'Job Planner'!C203</f>
        <v>0</v>
      </c>
      <c r="D203" s="14">
        <f>'Job Planner'!D203</f>
        <v>0</v>
      </c>
      <c r="E203" s="13" t="str">
        <f>IF('Job Planner'!D203="GEOMETRY",'Job Planner'!E203,'Job Planner'!K203)</f>
        <v/>
      </c>
      <c r="F203" s="16">
        <f>'Job Planner'!F203</f>
        <v>0</v>
      </c>
      <c r="G203" s="16">
        <f>'Job Planner'!G203</f>
        <v>0</v>
      </c>
      <c r="H203" s="16" t="str">
        <f>'Job Planner'!I203</f>
        <v/>
      </c>
      <c r="I203" s="16" t="str">
        <f>'Job Planner'!J203</f>
        <v/>
      </c>
      <c r="J203" s="16" t="e">
        <f>'Job Planner'!N203</f>
        <v>#VALUE!</v>
      </c>
      <c r="K203" s="16" t="str">
        <f>IF(C203="BC",J203*'Mix Design'!$B$4,IF(C203="DBM",J203*'Mix Design'!$C$4,""))</f>
        <v/>
      </c>
      <c r="L203" s="16" t="str">
        <f>IF(C203="BC",J203*'Mix Design'!$B$5,IF(C203="DBM",J203*'Mix Design'!$C$5,""))</f>
        <v/>
      </c>
      <c r="M203" s="16" t="str">
        <f>IF(C203="BC",J203*'Mix Design'!$B$6,IF(C203="DBM",J203*'Mix Design'!$C$6,""))</f>
        <v/>
      </c>
      <c r="N203" s="16" t="str">
        <f>IF(C203="BC",J203*'Mix Design'!$B$7,IF(C203="DBM",J203*'Mix Design'!$C$7,""))</f>
        <v/>
      </c>
      <c r="O203" s="16" t="str">
        <f>IF(C203="BC",J203*'Mix Design'!$B$8,IF(C203="DBM",J203*'Mix Design'!$C$8,""))</f>
        <v/>
      </c>
      <c r="P203" s="16" t="str">
        <f>IF(C203="BC",J203*'Mix Design'!$B$9,IF(C203="DBM",J203*'Mix Design'!$C$9,""))</f>
        <v/>
      </c>
      <c r="Q203" s="16" t="e">
        <f>'Job Planner'!P203</f>
        <v>#VALUE!</v>
      </c>
      <c r="R203" s="16" t="e">
        <f>'Job Planner'!Q203</f>
        <v>#VALUE!</v>
      </c>
      <c r="S203" s="16" t="e">
        <f>'Job Planner'!S203</f>
        <v>#VALUE!</v>
      </c>
      <c r="T203" s="16" t="e">
        <f>'Job Planner'!Z203</f>
        <v>#VALUE!</v>
      </c>
      <c r="U203" s="16" t="e">
        <f>'Job Planner'!AB203</f>
        <v>#VALUE!</v>
      </c>
      <c r="V203" s="16">
        <f>'Job Planner'!AE203</f>
        <v>0</v>
      </c>
      <c r="W203" s="16">
        <f>'Job Planner'!AF203</f>
        <v>0</v>
      </c>
      <c r="X203" s="16" t="e">
        <f>'Job Planner'!AG203</f>
        <v>#VALUE!</v>
      </c>
    </row>
    <row r="208" spans="1:24" x14ac:dyDescent="0.2">
      <c r="A208" t="s">
        <v>234</v>
      </c>
    </row>
    <row r="209" spans="1:2" x14ac:dyDescent="0.2">
      <c r="A209" t="s">
        <v>235</v>
      </c>
      <c r="B209" t="e">
        <f>SUM(J4:J203)</f>
        <v>#VALUE!</v>
      </c>
    </row>
    <row r="210" spans="1:2" x14ac:dyDescent="0.2">
      <c r="A210" t="s">
        <v>236</v>
      </c>
      <c r="B210">
        <f>SUM(K4:K203)</f>
        <v>26.564999999999998</v>
      </c>
    </row>
    <row r="211" spans="1:2" x14ac:dyDescent="0.2">
      <c r="A211" t="s">
        <v>237</v>
      </c>
      <c r="B211">
        <f>SUM(L4:L203)</f>
        <v>181.02359999999999</v>
      </c>
    </row>
    <row r="212" spans="1:2" x14ac:dyDescent="0.2">
      <c r="A212" t="s">
        <v>238</v>
      </c>
      <c r="B212">
        <f>SUM(M4:M203)</f>
        <v>225.66374999999999</v>
      </c>
    </row>
    <row r="213" spans="1:2" x14ac:dyDescent="0.2">
      <c r="A213" t="s">
        <v>239</v>
      </c>
      <c r="B213">
        <f>SUM(N4:N203)</f>
        <v>498.84007500000007</v>
      </c>
    </row>
    <row r="214" spans="1:2" x14ac:dyDescent="0.2">
      <c r="A214" t="s">
        <v>240</v>
      </c>
      <c r="B214">
        <f>SUM(O4:O203)</f>
        <v>0</v>
      </c>
    </row>
    <row r="215" spans="1:2" x14ac:dyDescent="0.2">
      <c r="A215" t="s">
        <v>241</v>
      </c>
      <c r="B215">
        <f>SUM(P4:P203)</f>
        <v>50.257575000000003</v>
      </c>
    </row>
    <row r="216" spans="1:2" x14ac:dyDescent="0.2">
      <c r="A216" t="s">
        <v>229</v>
      </c>
      <c r="B216" t="e">
        <f>SUM(Q4:Q203)</f>
        <v>#VALUE!</v>
      </c>
    </row>
    <row r="217" spans="1:2" x14ac:dyDescent="0.2">
      <c r="A217" t="s">
        <v>242</v>
      </c>
      <c r="B217" t="e">
        <f>SUM(R4:R203)</f>
        <v>#VALUE!</v>
      </c>
    </row>
    <row r="218" spans="1:2" x14ac:dyDescent="0.2">
      <c r="A218" t="s">
        <v>243</v>
      </c>
      <c r="B218" t="e">
        <f>SUM(X4:X203)</f>
        <v>#VALUE!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Mix Design</vt:lpstr>
      <vt:lpstr>Rate Model</vt:lpstr>
      <vt:lpstr>Job Planner</vt:lpstr>
      <vt:lpstr>Material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Sunil Kumar</cp:lastModifiedBy>
  <dcterms:modified xsi:type="dcterms:W3CDTF">2026-03-16T15:59:31Z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2026-03-16T15:53:00Z</dcterms:created>
  <dc:creator>openpyxl</dc:creator>
  <dc:description/>
  <dc:language>en-US</dc:language>
  <cp:lastModifiedBy>Sunil Kumar</cp:lastModifiedBy>
  <dcterms:modified xsi:type="dcterms:W3CDTF">2026-03-16T15:53:04Z</dcterms:modified>
  <cp:revision>0</cp:revision>
  <dc:subject/>
  <dc:title/>
</cp:coreProperties>
</file>