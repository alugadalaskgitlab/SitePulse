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https://highlane-my.sharepoint.com/personal/sk_highlane_in/Documents/SitePulse/"/>
    </mc:Choice>
  </mc:AlternateContent>
  <xr:revisionPtr revIDLastSave="0" documentId="8_{D7BB9702-A664-944B-AA28-B6BB4F6BB92F}" xr6:coauthVersionLast="47" xr6:coauthVersionMax="47" xr10:uidLastSave="{00000000-0000-0000-0000-000000000000}"/>
  <bookViews>
    <workbookView xWindow="4320" yWindow="2100" windowWidth="24480" windowHeight="15160" xr2:uid="{F49FC39E-8DA8-1E4C-9051-3CC981F2DAD0}"/>
  </bookViews>
  <sheets>
    <sheet name="BOQ"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np3">'[8]Material '!$G$50</definedName>
    <definedName name="_Regression_Out" hidden="1">#REF!</definedName>
    <definedName name="_Regression_X" hidden="1">#REF!</definedName>
    <definedName name="_Regression_Y" hidden="1">#REF!</definedName>
    <definedName name="a">[9]BOQ!#REF!</definedName>
    <definedName name="as">[9]BOQ!#REF!</definedName>
    <definedName name="ballies">'[8]Material '!$G$31</definedName>
    <definedName name="bondstone">'[8]Material '!$G$40</definedName>
    <definedName name="dghkl" hidden="1">{"'Bill No. 7'!$A$1:$G$32"}</definedName>
    <definedName name="faciastone">'[8]Material '!$G$51</definedName>
    <definedName name="Gera">[9]BOQ!#REF!</definedName>
    <definedName name="HTML_CodePage" hidden="1">1252</definedName>
    <definedName name="HTML_Control" hidden="1">{"'Typical Costs Estimates'!$C$158:$H$161"}</definedName>
    <definedName name="HTML_Description" hidden="1">""</definedName>
    <definedName name="HTML_Email" hidden="1">""</definedName>
    <definedName name="HTML_Header" hidden="1">"Typical Costs Estimates"</definedName>
    <definedName name="HTML_LastUpdate" hidden="1">"8/18/99"</definedName>
    <definedName name="HTML_LineAfter" hidden="1">TRUE</definedName>
    <definedName name="HTML_LineBefore" hidden="1">TRUE</definedName>
    <definedName name="HTML_Name" hidden="1">"Ajit.S.R"</definedName>
    <definedName name="HTML_OBDlg2" hidden="1">TRUE</definedName>
    <definedName name="HTML_OBDlg4" hidden="1">TRUE</definedName>
    <definedName name="HTML_OS" hidden="1">0</definedName>
    <definedName name="HTML_PathFile" hidden="1">"C:\My Documents\MyHTML.htm"</definedName>
    <definedName name="HTML_Title" hidden="1">"Ecr cost"</definedName>
    <definedName name="humepipe1200">'[8]Material '!$G$48</definedName>
    <definedName name="humepipenp3">'[8]Material '!$G$49</definedName>
    <definedName name="L_Mate">[10]Labour!$D$16</definedName>
    <definedName name="L_Mazdoor">[10]Labour!$D$17</definedName>
    <definedName name="L_Mazdoor_Skilled">[10]Labour!$D$19</definedName>
    <definedName name="lead">'[11]Material '!$S$11</definedName>
    <definedName name="M_Water">[10]Material!$D$146</definedName>
    <definedName name="M_WellGradedGranularBaseMaterial_GradeA_236mm">[10]Material!$D$147</definedName>
    <definedName name="M_WellGradedGranularBaseMaterial_GradeA_265_475mm">[10]Material!$D$148</definedName>
    <definedName name="M_WellGradedGranularBaseMaterial_GradeA_53_265mm">[10]Material!$D$149</definedName>
    <definedName name="mason1">'[8]Labour &amp; Plant'!$C$14</definedName>
    <definedName name="mason2">'[8]Labour &amp; Plant'!$C$15</definedName>
    <definedName name="mhjj" hidden="1">{"'Bill No. 7'!$A$1:$G$32"}</definedName>
    <definedName name="painter1">'[12]Labour &amp; Plant'!$C$32</definedName>
    <definedName name="PM_MotorGrader">'[10]Plant &amp;  Machinery'!$G$25</definedName>
    <definedName name="PM_ThreeWheeled_80_100kN_StaticRoller">'[10]Plant &amp;  Machinery'!$G$34</definedName>
    <definedName name="PM_Tractor_Rotavator">'[10]Plant &amp;  Machinery'!$G$49</definedName>
    <definedName name="PM_WaterTanker_6kl">'[10]Plant &amp;  Machinery'!$G$53</definedName>
    <definedName name="_xlnm.Print_Area" localSheetId="0">BOQ!$A$1:$G$355</definedName>
    <definedName name="_xlnm.Print_Area">#REF!</definedName>
    <definedName name="_xlnm.Print_Titles" localSheetId="0">BOQ!$1:$2</definedName>
    <definedName name="_xlnm.Print_Titles">#REF!</definedName>
    <definedName name="Raj" hidden="1">{"'Sheet1'!$A$4386:$N$4591"}</definedName>
    <definedName name="SW" hidden="1">{"'Sheet1'!$A$4386:$N$4591"}</definedName>
    <definedName name="TaxTV">10%</definedName>
    <definedName name="TaxXL">5%</definedName>
    <definedName name="TBM">#REF!</definedName>
    <definedName name="TBM_No.">#REF!</definedName>
    <definedName name="timber">'[8]Material '!$G$30</definedName>
    <definedName name="zxgsdfg" hidden="1">{"'Bill No. 7'!$A$1:$G$32"}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52" i="1" l="1"/>
  <c r="G352" i="1" s="1"/>
  <c r="E351" i="1"/>
  <c r="G351" i="1" s="1"/>
  <c r="G350" i="1"/>
  <c r="G349" i="1"/>
  <c r="G354" i="1" s="1"/>
  <c r="A347" i="1"/>
  <c r="A348" i="1" s="1"/>
  <c r="A351" i="1" s="1"/>
  <c r="A352" i="1" s="1"/>
  <c r="I342" i="1"/>
  <c r="G342" i="1"/>
  <c r="I341" i="1"/>
  <c r="G341" i="1"/>
  <c r="G340" i="1"/>
  <c r="I340" i="1" s="1"/>
  <c r="I339" i="1"/>
  <c r="G339" i="1"/>
  <c r="G338" i="1"/>
  <c r="I338" i="1" s="1"/>
  <c r="I337" i="1"/>
  <c r="G337" i="1"/>
  <c r="G336" i="1"/>
  <c r="I336" i="1" s="1"/>
  <c r="I335" i="1"/>
  <c r="G335" i="1"/>
  <c r="I334" i="1"/>
  <c r="G334" i="1"/>
  <c r="I333" i="1"/>
  <c r="G333" i="1"/>
  <c r="I332" i="1"/>
  <c r="G332" i="1"/>
  <c r="I331" i="1"/>
  <c r="G331" i="1"/>
  <c r="I330" i="1"/>
  <c r="I329" i="1"/>
  <c r="G329" i="1"/>
  <c r="G328" i="1"/>
  <c r="I328" i="1" s="1"/>
  <c r="I327" i="1"/>
  <c r="G327" i="1"/>
  <c r="G326" i="1"/>
  <c r="I326" i="1" s="1"/>
  <c r="I325" i="1"/>
  <c r="G325" i="1"/>
  <c r="G324" i="1"/>
  <c r="I324" i="1" s="1"/>
  <c r="I323" i="1"/>
  <c r="G323" i="1"/>
  <c r="I322" i="1"/>
  <c r="G322" i="1"/>
  <c r="G321" i="1"/>
  <c r="I321" i="1" s="1"/>
  <c r="G320" i="1"/>
  <c r="I320" i="1" s="1"/>
  <c r="G319" i="1"/>
  <c r="I319" i="1" s="1"/>
  <c r="I318" i="1"/>
  <c r="G318" i="1"/>
  <c r="G317" i="1"/>
  <c r="E316" i="1"/>
  <c r="G316" i="1" s="1"/>
  <c r="I316" i="1" s="1"/>
  <c r="G315" i="1"/>
  <c r="I315" i="1" s="1"/>
  <c r="I314" i="1"/>
  <c r="G314" i="1"/>
  <c r="I313" i="1"/>
  <c r="G312" i="1"/>
  <c r="I312" i="1" s="1"/>
  <c r="I311" i="1"/>
  <c r="I310" i="1"/>
  <c r="I309" i="1"/>
  <c r="G308" i="1"/>
  <c r="I308" i="1" s="1"/>
  <c r="G307" i="1"/>
  <c r="I307" i="1" s="1"/>
  <c r="E307" i="1"/>
  <c r="I306" i="1"/>
  <c r="E305" i="1"/>
  <c r="G305" i="1" s="1"/>
  <c r="I305" i="1" s="1"/>
  <c r="E304" i="1"/>
  <c r="G304" i="1" s="1"/>
  <c r="I304" i="1" s="1"/>
  <c r="E303" i="1"/>
  <c r="G303" i="1" s="1"/>
  <c r="I303" i="1" s="1"/>
  <c r="I302" i="1"/>
  <c r="G302" i="1"/>
  <c r="A302" i="1"/>
  <c r="A303" i="1" s="1"/>
  <c r="A304" i="1" s="1"/>
  <c r="A305" i="1" s="1"/>
  <c r="A306" i="1" s="1"/>
  <c r="A309" i="1" s="1"/>
  <c r="A313" i="1" s="1"/>
  <c r="A323" i="1" s="1"/>
  <c r="A324" i="1" s="1"/>
  <c r="A325" i="1" s="1"/>
  <c r="A326" i="1" s="1"/>
  <c r="A327" i="1" s="1"/>
  <c r="A328" i="1" s="1"/>
  <c r="A329" i="1" s="1"/>
  <c r="A330" i="1" s="1"/>
  <c r="A334" i="1" s="1"/>
  <c r="A335" i="1" s="1"/>
  <c r="A336" i="1" s="1"/>
  <c r="A337" i="1" s="1"/>
  <c r="A338" i="1" s="1"/>
  <c r="A339" i="1" s="1"/>
  <c r="A340" i="1" s="1"/>
  <c r="A341" i="1" s="1"/>
  <c r="A342" i="1" s="1"/>
  <c r="E301" i="1"/>
  <c r="G301" i="1" s="1"/>
  <c r="I298" i="1"/>
  <c r="G296" i="1"/>
  <c r="G295" i="1"/>
  <c r="F294" i="1"/>
  <c r="E294" i="1"/>
  <c r="G294" i="1" s="1"/>
  <c r="I294" i="1" s="1"/>
  <c r="I293" i="1"/>
  <c r="E292" i="1"/>
  <c r="E291" i="1"/>
  <c r="E290" i="1"/>
  <c r="E289" i="1"/>
  <c r="E288" i="1"/>
  <c r="I287" i="1"/>
  <c r="E286" i="1"/>
  <c r="G286" i="1" s="1"/>
  <c r="I286" i="1" s="1"/>
  <c r="E285" i="1"/>
  <c r="E284" i="1"/>
  <c r="E283" i="1"/>
  <c r="E282" i="1"/>
  <c r="E281" i="1"/>
  <c r="A281" i="1"/>
  <c r="A282" i="1" s="1"/>
  <c r="A283" i="1" s="1"/>
  <c r="A284" i="1" s="1"/>
  <c r="A285" i="1" s="1"/>
  <c r="A286" i="1" s="1"/>
  <c r="A287" i="1" s="1"/>
  <c r="A289" i="1" s="1"/>
  <c r="A290" i="1" s="1"/>
  <c r="A291" i="1" s="1"/>
  <c r="A292" i="1" s="1"/>
  <c r="A293" i="1" s="1"/>
  <c r="E280" i="1"/>
  <c r="G280" i="1" s="1"/>
  <c r="F277" i="1"/>
  <c r="E277" i="1"/>
  <c r="G277" i="1" s="1"/>
  <c r="G276" i="1"/>
  <c r="E276" i="1"/>
  <c r="G275" i="1"/>
  <c r="E275" i="1"/>
  <c r="F274" i="1"/>
  <c r="G274" i="1" s="1"/>
  <c r="E274" i="1"/>
  <c r="G273" i="1"/>
  <c r="F273" i="1"/>
  <c r="E273" i="1"/>
  <c r="A273" i="1"/>
  <c r="A274" i="1" s="1"/>
  <c r="A275" i="1" s="1"/>
  <c r="A276" i="1" s="1"/>
  <c r="A277" i="1" s="1"/>
  <c r="F272" i="1"/>
  <c r="A272" i="1"/>
  <c r="G271" i="1"/>
  <c r="G270" i="1"/>
  <c r="E270" i="1"/>
  <c r="E266" i="1"/>
  <c r="G266" i="1" s="1"/>
  <c r="E265" i="1"/>
  <c r="G265" i="1" s="1"/>
  <c r="E264" i="1"/>
  <c r="G264" i="1" s="1"/>
  <c r="G263" i="1"/>
  <c r="E263" i="1"/>
  <c r="E262" i="1"/>
  <c r="G262" i="1" s="1"/>
  <c r="G261" i="1"/>
  <c r="E261" i="1"/>
  <c r="E260" i="1"/>
  <c r="G260" i="1" s="1"/>
  <c r="G259" i="1"/>
  <c r="E259" i="1"/>
  <c r="E258" i="1"/>
  <c r="G258" i="1" s="1"/>
  <c r="E257" i="1"/>
  <c r="G257" i="1" s="1"/>
  <c r="G256" i="1"/>
  <c r="E256" i="1"/>
  <c r="E255" i="1"/>
  <c r="G255" i="1" s="1"/>
  <c r="G254" i="1"/>
  <c r="E254" i="1"/>
  <c r="E253" i="1"/>
  <c r="G253" i="1" s="1"/>
  <c r="G252" i="1"/>
  <c r="E252" i="1"/>
  <c r="E251" i="1"/>
  <c r="G251" i="1" s="1"/>
  <c r="E250" i="1"/>
  <c r="G250" i="1" s="1"/>
  <c r="E249" i="1"/>
  <c r="G249" i="1" s="1"/>
  <c r="E248" i="1"/>
  <c r="G248" i="1" s="1"/>
  <c r="F247" i="1"/>
  <c r="E247" i="1"/>
  <c r="G247" i="1" s="1"/>
  <c r="G246" i="1"/>
  <c r="E246" i="1"/>
  <c r="E245" i="1"/>
  <c r="G245" i="1" s="1"/>
  <c r="G244" i="1"/>
  <c r="F244" i="1"/>
  <c r="E244" i="1"/>
  <c r="E243" i="1"/>
  <c r="G243" i="1" s="1"/>
  <c r="E242" i="1"/>
  <c r="G242" i="1" s="1"/>
  <c r="G241" i="1"/>
  <c r="E241" i="1"/>
  <c r="E240" i="1"/>
  <c r="G240" i="1" s="1"/>
  <c r="G239" i="1"/>
  <c r="E239" i="1"/>
  <c r="F238" i="1"/>
  <c r="G238" i="1" s="1"/>
  <c r="E238" i="1"/>
  <c r="E237" i="1"/>
  <c r="G237" i="1" s="1"/>
  <c r="E236" i="1"/>
  <c r="F233" i="1"/>
  <c r="E233" i="1"/>
  <c r="G233" i="1" s="1"/>
  <c r="F232" i="1"/>
  <c r="E232" i="1"/>
  <c r="G232" i="1" s="1"/>
  <c r="F231" i="1"/>
  <c r="E231" i="1"/>
  <c r="G231" i="1" s="1"/>
  <c r="F230" i="1"/>
  <c r="E230" i="1"/>
  <c r="G230" i="1" s="1"/>
  <c r="G229" i="1"/>
  <c r="F229" i="1"/>
  <c r="E229" i="1"/>
  <c r="E228" i="1"/>
  <c r="G228" i="1" s="1"/>
  <c r="F227" i="1"/>
  <c r="E227" i="1"/>
  <c r="G227" i="1" s="1"/>
  <c r="E226" i="1"/>
  <c r="G226" i="1" s="1"/>
  <c r="F223" i="1"/>
  <c r="G223" i="1" s="1"/>
  <c r="E223" i="1"/>
  <c r="E222" i="1"/>
  <c r="G222" i="1" s="1"/>
  <c r="F221" i="1"/>
  <c r="E221" i="1"/>
  <c r="G221" i="1" s="1"/>
  <c r="E219" i="1"/>
  <c r="G219" i="1" s="1"/>
  <c r="F218" i="1"/>
  <c r="G218" i="1" s="1"/>
  <c r="E218" i="1"/>
  <c r="E217" i="1"/>
  <c r="G217" i="1" s="1"/>
  <c r="F216" i="1"/>
  <c r="E216" i="1"/>
  <c r="G216" i="1" s="1"/>
  <c r="F215" i="1"/>
  <c r="E215" i="1"/>
  <c r="G215" i="1" s="1"/>
  <c r="E214" i="1"/>
  <c r="G214" i="1" s="1"/>
  <c r="E213" i="1"/>
  <c r="G213" i="1" s="1"/>
  <c r="E212" i="1"/>
  <c r="G212" i="1" s="1"/>
  <c r="G211" i="1"/>
  <c r="E211" i="1"/>
  <c r="E210" i="1"/>
  <c r="G210" i="1" s="1"/>
  <c r="F208" i="1"/>
  <c r="E208" i="1"/>
  <c r="G208" i="1" s="1"/>
  <c r="E207" i="1"/>
  <c r="G207" i="1" s="1"/>
  <c r="E206" i="1"/>
  <c r="G206" i="1" s="1"/>
  <c r="G205" i="1"/>
  <c r="E205" i="1"/>
  <c r="E204" i="1"/>
  <c r="G204" i="1" s="1"/>
  <c r="E203" i="1"/>
  <c r="G203" i="1" s="1"/>
  <c r="E202" i="1"/>
  <c r="G202" i="1" s="1"/>
  <c r="G201" i="1"/>
  <c r="E201" i="1"/>
  <c r="E200" i="1"/>
  <c r="G200" i="1" s="1"/>
  <c r="E199" i="1"/>
  <c r="G199" i="1" s="1"/>
  <c r="E198" i="1"/>
  <c r="G198" i="1" s="1"/>
  <c r="G197" i="1"/>
  <c r="G196" i="1"/>
  <c r="G195" i="1"/>
  <c r="G194" i="1"/>
  <c r="G193" i="1"/>
  <c r="G192" i="1"/>
  <c r="G191" i="1"/>
  <c r="G190" i="1"/>
  <c r="F189" i="1"/>
  <c r="F156" i="1" s="1"/>
  <c r="E189" i="1"/>
  <c r="G189" i="1" s="1"/>
  <c r="G188" i="1"/>
  <c r="G187" i="1"/>
  <c r="G186" i="1"/>
  <c r="G185" i="1"/>
  <c r="F184" i="1"/>
  <c r="E184" i="1"/>
  <c r="G184" i="1" s="1"/>
  <c r="F182" i="1"/>
  <c r="E182" i="1"/>
  <c r="G182" i="1" s="1"/>
  <c r="G181" i="1"/>
  <c r="E181" i="1"/>
  <c r="E180" i="1"/>
  <c r="G180" i="1" s="1"/>
  <c r="E179" i="1"/>
  <c r="G179" i="1" s="1"/>
  <c r="E178" i="1"/>
  <c r="G178" i="1" s="1"/>
  <c r="G177" i="1"/>
  <c r="E177" i="1"/>
  <c r="G176" i="1"/>
  <c r="E176" i="1"/>
  <c r="F175" i="1"/>
  <c r="E175" i="1"/>
  <c r="G175" i="1" s="1"/>
  <c r="G174" i="1"/>
  <c r="E174" i="1"/>
  <c r="F173" i="1"/>
  <c r="G173" i="1" s="1"/>
  <c r="E173" i="1"/>
  <c r="E172" i="1"/>
  <c r="G172" i="1" s="1"/>
  <c r="G171" i="1"/>
  <c r="E171" i="1"/>
  <c r="E170" i="1"/>
  <c r="G170" i="1" s="1"/>
  <c r="F169" i="1"/>
  <c r="E169" i="1"/>
  <c r="G169" i="1" s="1"/>
  <c r="G168" i="1"/>
  <c r="E168" i="1"/>
  <c r="E167" i="1"/>
  <c r="G167" i="1" s="1"/>
  <c r="F166" i="1"/>
  <c r="E166" i="1"/>
  <c r="G166" i="1" s="1"/>
  <c r="F165" i="1"/>
  <c r="E165" i="1"/>
  <c r="G165" i="1" s="1"/>
  <c r="A165" i="1"/>
  <c r="A167" i="1" s="1"/>
  <c r="A168" i="1" s="1"/>
  <c r="A171" i="1" s="1"/>
  <c r="A177" i="1" s="1"/>
  <c r="A180" i="1" s="1"/>
  <c r="A186" i="1" s="1"/>
  <c r="A198" i="1" s="1"/>
  <c r="A208" i="1" s="1"/>
  <c r="A209" i="1" s="1"/>
  <c r="A213" i="1" s="1"/>
  <c r="A215" i="1" s="1"/>
  <c r="A216" i="1" s="1"/>
  <c r="A217" i="1" s="1"/>
  <c r="A220" i="1" s="1"/>
  <c r="A223" i="1" s="1"/>
  <c r="A224" i="1" s="1"/>
  <c r="A225" i="1" s="1"/>
  <c r="A226" i="1" s="1"/>
  <c r="A227" i="1" s="1"/>
  <c r="A228" i="1" s="1"/>
  <c r="A231" i="1" s="1"/>
  <c r="A232" i="1" s="1"/>
  <c r="A233" i="1" s="1"/>
  <c r="A235" i="1" s="1"/>
  <c r="A238" i="1" s="1"/>
  <c r="A239" i="1" s="1"/>
  <c r="A243" i="1" s="1"/>
  <c r="A248" i="1" s="1"/>
  <c r="A249" i="1" s="1"/>
  <c r="A253" i="1" s="1"/>
  <c r="A257" i="1" s="1"/>
  <c r="A258" i="1" s="1"/>
  <c r="A264" i="1" s="1"/>
  <c r="A265" i="1" s="1"/>
  <c r="A266" i="1" s="1"/>
  <c r="E164" i="1"/>
  <c r="G164" i="1" s="1"/>
  <c r="A164" i="1"/>
  <c r="G163" i="1"/>
  <c r="E163" i="1"/>
  <c r="E162" i="1"/>
  <c r="G162" i="1" s="1"/>
  <c r="I161" i="1"/>
  <c r="F161" i="1"/>
  <c r="E161" i="1"/>
  <c r="G161" i="1" s="1"/>
  <c r="E156" i="1"/>
  <c r="G156" i="1" s="1"/>
  <c r="G155" i="1"/>
  <c r="E155" i="1"/>
  <c r="F154" i="1"/>
  <c r="E154" i="1"/>
  <c r="G154" i="1" s="1"/>
  <c r="C154" i="1"/>
  <c r="F153" i="1"/>
  <c r="E153" i="1"/>
  <c r="G153" i="1" s="1"/>
  <c r="G152" i="1"/>
  <c r="C152" i="1"/>
  <c r="F151" i="1"/>
  <c r="E151" i="1"/>
  <c r="G151" i="1" s="1"/>
  <c r="I151" i="1" s="1"/>
  <c r="F150" i="1"/>
  <c r="G150" i="1" s="1"/>
  <c r="I150" i="1" s="1"/>
  <c r="E150" i="1"/>
  <c r="F149" i="1"/>
  <c r="G149" i="1" s="1"/>
  <c r="G157" i="1" s="1"/>
  <c r="E149" i="1"/>
  <c r="E148" i="1"/>
  <c r="G148" i="1" s="1"/>
  <c r="E147" i="1"/>
  <c r="G147" i="1" s="1"/>
  <c r="F146" i="1"/>
  <c r="E146" i="1"/>
  <c r="G146" i="1" s="1"/>
  <c r="A146" i="1"/>
  <c r="A147" i="1" s="1"/>
  <c r="A148" i="1" s="1"/>
  <c r="A149" i="1" s="1"/>
  <c r="A150" i="1" s="1"/>
  <c r="A151" i="1" s="1"/>
  <c r="A152" i="1" s="1"/>
  <c r="A153" i="1" s="1"/>
  <c r="G142" i="1"/>
  <c r="F142" i="1"/>
  <c r="E142" i="1"/>
  <c r="F140" i="1"/>
  <c r="E140" i="1"/>
  <c r="G140" i="1" s="1"/>
  <c r="F139" i="1"/>
  <c r="E139" i="1"/>
  <c r="G139" i="1" s="1"/>
  <c r="A139" i="1"/>
  <c r="A140" i="1" s="1"/>
  <c r="A141" i="1" s="1"/>
  <c r="A142" i="1" s="1"/>
  <c r="A143" i="1" s="1"/>
  <c r="A144" i="1" s="1"/>
  <c r="A145" i="1" s="1"/>
  <c r="A134" i="1"/>
  <c r="A132" i="1"/>
  <c r="F128" i="1"/>
  <c r="G128" i="1" s="1"/>
  <c r="E128" i="1"/>
  <c r="F124" i="1"/>
  <c r="E124" i="1"/>
  <c r="F123" i="1"/>
  <c r="G123" i="1" s="1"/>
  <c r="E123" i="1"/>
  <c r="F122" i="1"/>
  <c r="G122" i="1" s="1"/>
  <c r="E122" i="1"/>
  <c r="F121" i="1"/>
  <c r="G121" i="1" s="1"/>
  <c r="F120" i="1"/>
  <c r="E120" i="1"/>
  <c r="G120" i="1" s="1"/>
  <c r="G119" i="1"/>
  <c r="F119" i="1"/>
  <c r="E119" i="1"/>
  <c r="F118" i="1"/>
  <c r="G118" i="1" s="1"/>
  <c r="E118" i="1"/>
  <c r="F117" i="1"/>
  <c r="E117" i="1"/>
  <c r="G117" i="1" s="1"/>
  <c r="F116" i="1"/>
  <c r="E116" i="1"/>
  <c r="G116" i="1" s="1"/>
  <c r="F114" i="1"/>
  <c r="E114" i="1"/>
  <c r="G114" i="1" s="1"/>
  <c r="A114" i="1"/>
  <c r="A115" i="1" s="1"/>
  <c r="A122" i="1" s="1"/>
  <c r="A123" i="1" s="1"/>
  <c r="A124" i="1" s="1"/>
  <c r="F113" i="1"/>
  <c r="E113" i="1"/>
  <c r="G113" i="1" s="1"/>
  <c r="G112" i="1"/>
  <c r="F112" i="1"/>
  <c r="E112" i="1"/>
  <c r="F111" i="1"/>
  <c r="G111" i="1" s="1"/>
  <c r="E111" i="1"/>
  <c r="A110" i="1"/>
  <c r="F109" i="1"/>
  <c r="F291" i="1" s="1"/>
  <c r="E109" i="1"/>
  <c r="E105" i="1"/>
  <c r="G105" i="1" s="1"/>
  <c r="G104" i="1"/>
  <c r="E104" i="1"/>
  <c r="E103" i="1"/>
  <c r="G103" i="1" s="1"/>
  <c r="F102" i="1"/>
  <c r="E102" i="1"/>
  <c r="G102" i="1" s="1"/>
  <c r="F101" i="1"/>
  <c r="E101" i="1"/>
  <c r="G101" i="1" s="1"/>
  <c r="E100" i="1"/>
  <c r="G100" i="1" s="1"/>
  <c r="F99" i="1"/>
  <c r="E99" i="1"/>
  <c r="G99" i="1" s="1"/>
  <c r="E98" i="1"/>
  <c r="G98" i="1" s="1"/>
  <c r="E97" i="1"/>
  <c r="G97" i="1" s="1"/>
  <c r="G96" i="1"/>
  <c r="E96" i="1"/>
  <c r="E95" i="1"/>
  <c r="G95" i="1" s="1"/>
  <c r="E94" i="1"/>
  <c r="E93" i="1"/>
  <c r="E92" i="1"/>
  <c r="E91" i="1"/>
  <c r="F90" i="1"/>
  <c r="E90" i="1"/>
  <c r="G90" i="1" s="1"/>
  <c r="F89" i="1"/>
  <c r="E89" i="1"/>
  <c r="G89" i="1" s="1"/>
  <c r="G88" i="1"/>
  <c r="E88" i="1"/>
  <c r="E87" i="1"/>
  <c r="E86" i="1"/>
  <c r="E85" i="1"/>
  <c r="E84" i="1"/>
  <c r="F83" i="1"/>
  <c r="E83" i="1"/>
  <c r="E82" i="1"/>
  <c r="G82" i="1" s="1"/>
  <c r="G81" i="1"/>
  <c r="E81" i="1"/>
  <c r="G80" i="1"/>
  <c r="F80" i="1"/>
  <c r="E80" i="1"/>
  <c r="G79" i="1"/>
  <c r="F79" i="1"/>
  <c r="F236" i="1" s="1"/>
  <c r="E79" i="1"/>
  <c r="G78" i="1"/>
  <c r="F78" i="1"/>
  <c r="E78" i="1"/>
  <c r="G77" i="1"/>
  <c r="E77" i="1"/>
  <c r="E76" i="1"/>
  <c r="G76" i="1" s="1"/>
  <c r="G75" i="1"/>
  <c r="E75" i="1"/>
  <c r="F70" i="1"/>
  <c r="G70" i="1" s="1"/>
  <c r="E70" i="1"/>
  <c r="F69" i="1"/>
  <c r="G69" i="1" s="1"/>
  <c r="E69" i="1"/>
  <c r="E68" i="1"/>
  <c r="G67" i="1"/>
  <c r="E67" i="1"/>
  <c r="E66" i="1"/>
  <c r="G66" i="1" s="1"/>
  <c r="G65" i="1"/>
  <c r="F65" i="1"/>
  <c r="E65" i="1"/>
  <c r="E64" i="1"/>
  <c r="G64" i="1" s="1"/>
  <c r="G63" i="1"/>
  <c r="E63" i="1"/>
  <c r="E62" i="1"/>
  <c r="F61" i="1"/>
  <c r="E61" i="1"/>
  <c r="G61" i="1" s="1"/>
  <c r="A61" i="1"/>
  <c r="A62" i="1" s="1"/>
  <c r="A68" i="1" s="1"/>
  <c r="A70" i="1" s="1"/>
  <c r="A71" i="1" s="1"/>
  <c r="A78" i="1" s="1"/>
  <c r="A79" i="1" s="1"/>
  <c r="A80" i="1" s="1"/>
  <c r="A81" i="1" s="1"/>
  <c r="A82" i="1" s="1"/>
  <c r="A83" i="1" s="1"/>
  <c r="A84" i="1" s="1"/>
  <c r="A90" i="1" s="1"/>
  <c r="A91" i="1" s="1"/>
  <c r="A92" i="1" s="1"/>
  <c r="A93" i="1" s="1"/>
  <c r="A94" i="1" s="1"/>
  <c r="A99" i="1" s="1"/>
  <c r="A100" i="1" s="1"/>
  <c r="A101" i="1" s="1"/>
  <c r="A102" i="1" s="1"/>
  <c r="A103" i="1" s="1"/>
  <c r="F60" i="1"/>
  <c r="E60" i="1"/>
  <c r="G60" i="1" s="1"/>
  <c r="H60" i="1" s="1"/>
  <c r="F59" i="1"/>
  <c r="G59" i="1" s="1"/>
  <c r="H59" i="1" s="1"/>
  <c r="E59" i="1"/>
  <c r="A59" i="1"/>
  <c r="A60" i="1" s="1"/>
  <c r="F58" i="1"/>
  <c r="G58" i="1" s="1"/>
  <c r="E58" i="1"/>
  <c r="G55" i="1"/>
  <c r="J55" i="1" s="1"/>
  <c r="F55" i="1"/>
  <c r="E55" i="1"/>
  <c r="G54" i="1"/>
  <c r="F54" i="1"/>
  <c r="E54" i="1"/>
  <c r="A54" i="1"/>
  <c r="A55" i="1" s="1"/>
  <c r="G53" i="1"/>
  <c r="F53" i="1"/>
  <c r="E53" i="1"/>
  <c r="F52" i="1"/>
  <c r="G52" i="1" s="1"/>
  <c r="E52" i="1"/>
  <c r="C51" i="1"/>
  <c r="F50" i="1"/>
  <c r="G50" i="1" s="1"/>
  <c r="E50" i="1"/>
  <c r="F49" i="1"/>
  <c r="F289" i="1" s="1"/>
  <c r="G289" i="1" s="1"/>
  <c r="I289" i="1" s="1"/>
  <c r="E49" i="1"/>
  <c r="G49" i="1" s="1"/>
  <c r="F46" i="1"/>
  <c r="F288" i="1" s="1"/>
  <c r="G288" i="1" s="1"/>
  <c r="I288" i="1" s="1"/>
  <c r="E46" i="1"/>
  <c r="G46" i="1" s="1"/>
  <c r="G44" i="1"/>
  <c r="F44" i="1"/>
  <c r="F286" i="1" s="1"/>
  <c r="E44" i="1"/>
  <c r="G40" i="1"/>
  <c r="F40" i="1"/>
  <c r="F285" i="1" s="1"/>
  <c r="G285" i="1" s="1"/>
  <c r="I285" i="1" s="1"/>
  <c r="E40" i="1"/>
  <c r="A40" i="1"/>
  <c r="G39" i="1"/>
  <c r="G41" i="1" s="1"/>
  <c r="F39" i="1"/>
  <c r="F284" i="1" s="1"/>
  <c r="E39" i="1"/>
  <c r="E36" i="1"/>
  <c r="F35" i="1"/>
  <c r="E35" i="1"/>
  <c r="E34" i="1"/>
  <c r="G34" i="1" s="1"/>
  <c r="F33" i="1"/>
  <c r="E33" i="1"/>
  <c r="G33" i="1" s="1"/>
  <c r="G32" i="1"/>
  <c r="F32" i="1"/>
  <c r="F36" i="1" s="1"/>
  <c r="G36" i="1" s="1"/>
  <c r="E32" i="1"/>
  <c r="G31" i="1"/>
  <c r="F31" i="1"/>
  <c r="F281" i="1" s="1"/>
  <c r="E31" i="1"/>
  <c r="A31" i="1"/>
  <c r="A32" i="1" s="1"/>
  <c r="A35" i="1" s="1"/>
  <c r="G26" i="1"/>
  <c r="F26" i="1"/>
  <c r="E26" i="1"/>
  <c r="E22" i="1"/>
  <c r="F21" i="1"/>
  <c r="E21" i="1"/>
  <c r="F20" i="1"/>
  <c r="E20" i="1"/>
  <c r="G20" i="1" s="1"/>
  <c r="F19" i="1"/>
  <c r="E19" i="1"/>
  <c r="G19" i="1" s="1"/>
  <c r="G17" i="1"/>
  <c r="E17" i="1"/>
  <c r="E16" i="1"/>
  <c r="G16" i="1" s="1"/>
  <c r="G15" i="1"/>
  <c r="F15" i="1"/>
  <c r="E15" i="1"/>
  <c r="F14" i="1"/>
  <c r="G14" i="1" s="1"/>
  <c r="F13" i="1"/>
  <c r="E13" i="1"/>
  <c r="G13" i="1" s="1"/>
  <c r="G12" i="1"/>
  <c r="F12" i="1"/>
  <c r="E12" i="1"/>
  <c r="F11" i="1"/>
  <c r="G11" i="1" s="1"/>
  <c r="E11" i="1"/>
  <c r="F9" i="1"/>
  <c r="E9" i="1"/>
  <c r="G9" i="1" s="1"/>
  <c r="F8" i="1"/>
  <c r="E8" i="1"/>
  <c r="G8" i="1" s="1"/>
  <c r="G7" i="1"/>
  <c r="F7" i="1"/>
  <c r="E7" i="1"/>
  <c r="E272" i="1" s="1"/>
  <c r="G272" i="1" s="1"/>
  <c r="F6" i="1"/>
  <c r="G6" i="1" s="1"/>
  <c r="E6" i="1"/>
  <c r="F4" i="1"/>
  <c r="F280" i="1" s="1"/>
  <c r="E4" i="1"/>
  <c r="G4" i="1" s="1"/>
  <c r="F283" i="1" l="1"/>
  <c r="G281" i="1"/>
  <c r="I281" i="1" s="1"/>
  <c r="F22" i="1"/>
  <c r="G22" i="1" s="1"/>
  <c r="G21" i="1"/>
  <c r="F282" i="1"/>
  <c r="G282" i="1" s="1"/>
  <c r="I282" i="1" s="1"/>
  <c r="G35" i="1"/>
  <c r="G107" i="1"/>
  <c r="G267" i="1"/>
  <c r="G278" i="1"/>
  <c r="I280" i="1"/>
  <c r="G23" i="1"/>
  <c r="G236" i="1"/>
  <c r="G290" i="1"/>
  <c r="I290" i="1" s="1"/>
  <c r="G283" i="1"/>
  <c r="I283" i="1" s="1"/>
  <c r="G291" i="1"/>
  <c r="I291" i="1" s="1"/>
  <c r="G343" i="1"/>
  <c r="I343" i="1" s="1"/>
  <c r="I301" i="1"/>
  <c r="G56" i="1"/>
  <c r="G124" i="1"/>
  <c r="F292" i="1"/>
  <c r="G292" i="1" s="1"/>
  <c r="I292" i="1" s="1"/>
  <c r="G37" i="1"/>
  <c r="G284" i="1"/>
  <c r="I284" i="1" s="1"/>
  <c r="F290" i="1"/>
  <c r="G109" i="1"/>
  <c r="G298" i="1" l="1"/>
  <c r="J298" i="1" s="1"/>
  <c r="G1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jitendra</author>
    <author>Author</author>
  </authors>
  <commentList>
    <comment ref="C234" authorId="0" shapeId="0" xr:uid="{1B693A0A-49E4-7C48-A9B1-8A7BF2712769}">
      <text>
        <r>
          <rPr>
            <b/>
            <sz val="9"/>
            <color indexed="81"/>
            <rFont val="Tahoma"/>
            <family val="2"/>
          </rPr>
          <t>jitendra:</t>
        </r>
        <r>
          <rPr>
            <sz val="9"/>
            <color indexed="81"/>
            <rFont val="Tahoma"/>
            <family val="2"/>
          </rPr>
          <t xml:space="preserve">
Extra item added</t>
        </r>
      </text>
    </comment>
    <comment ref="F319" authorId="1" shapeId="0" xr:uid="{C6A9AB15-035F-CE44-ADC3-8189C762FEED}">
      <text>
        <r>
          <rPr>
            <b/>
            <sz val="9"/>
            <color indexed="81"/>
            <rFont val="Tahoma"/>
            <family val="2"/>
          </rPr>
          <t>Author:</t>
        </r>
        <r>
          <rPr>
            <sz val="9"/>
            <color indexed="81"/>
            <rFont val="Tahoma"/>
            <family val="2"/>
          </rPr>
          <t xml:space="preserve">
Additional 5.53 lakh added for foundation of each weigh bridge
</t>
        </r>
      </text>
    </comment>
  </commentList>
</comments>
</file>

<file path=xl/sharedStrings.xml><?xml version="1.0" encoding="utf-8"?>
<sst xmlns="http://schemas.openxmlformats.org/spreadsheetml/2006/main" count="680" uniqueCount="358">
  <si>
    <t>BILL OF QUANTITY</t>
  </si>
  <si>
    <t>Item</t>
  </si>
  <si>
    <t>MoRT&amp;H Spec Ref</t>
  </si>
  <si>
    <t>Description</t>
  </si>
  <si>
    <t>Unit</t>
  </si>
  <si>
    <t>Quantity</t>
  </si>
  <si>
    <t>Unit Rate</t>
  </si>
  <si>
    <t>Amount</t>
  </si>
  <si>
    <t>BILL No.  1</t>
  </si>
  <si>
    <t xml:space="preserve">SITE CLEARANCE </t>
  </si>
  <si>
    <t>Clearing and grubbing road land including uprooting rank vegetation, grass, bushes, shrubs, saplings and trees girth up to 300 mm, removal of stumps of trees cut earlier and disposal of unserviceable materials and stacking of serviceable material to be used or auctioned, including all leads and lifts and removal and disposal of top organic soil not exceeding 150 mm in thickness complete as per Technical Specifications Clause 201.</t>
  </si>
  <si>
    <t>Ha.</t>
  </si>
  <si>
    <t>201&amp; 305</t>
  </si>
  <si>
    <t>Cutting of trees, including cutting of trunks, branches and removal of stumps, roots, stacking of serviceable material with all lead &amp; lifts and refilling the pits with approved soil and compaction in layers as per Technical Specification Clause 201 and 305</t>
  </si>
  <si>
    <t>i) Girth size above 300mm upto 600mm</t>
  </si>
  <si>
    <t>Nos.</t>
  </si>
  <si>
    <t>ii) Girth size above 600mm upto 900mm</t>
  </si>
  <si>
    <t>iii) Girth size above 900mm up to 1800mm</t>
  </si>
  <si>
    <t>iv) Girth size more than 1800mm</t>
  </si>
  <si>
    <t>Dismantling structures  including disposal of resulting material and/or salvaging useful materials with all lifts and leads complete as per Technical Specifications Clause 202.</t>
  </si>
  <si>
    <t>i) PCC Structures</t>
  </si>
  <si>
    <t>Cum</t>
  </si>
  <si>
    <t>ii) RCC Structures</t>
  </si>
  <si>
    <t xml:space="preserve">iii) Stone / Brick Masonry </t>
  </si>
  <si>
    <t>iv) Stone pitching/Dry stone spalls</t>
  </si>
  <si>
    <t xml:space="preserve">v) Hume Pipes </t>
  </si>
  <si>
    <t>Rmt</t>
  </si>
  <si>
    <t>vi) W Beam Crash Barrier</t>
  </si>
  <si>
    <t>vii) Dismantilling of existing Steel Bridges</t>
  </si>
  <si>
    <t>Ls</t>
  </si>
  <si>
    <t>Dismantling of pavements and disposal of dismantled materials, stacking serviceable and unserviceable materials separately at approved locations</t>
  </si>
  <si>
    <t>i) Bituminous Courses</t>
  </si>
  <si>
    <t>ii) Granular  courses</t>
  </si>
  <si>
    <t>iii) Dry Lean Concrete</t>
  </si>
  <si>
    <t>iv) Pavement Quality Concrete</t>
  </si>
  <si>
    <t>Total Carried to Summary</t>
  </si>
  <si>
    <t>BILL No 2</t>
  </si>
  <si>
    <t>EARTH WORK</t>
  </si>
  <si>
    <t>Roadway excavation including removal of unsuitable soil for construction of roadway including shoulders and median to designated widths and depths in existing roadway embankment for purpose of pavement construction including trimming of bottom and side slopes in accordance with requirements of lines, grades and cross sections, loading and disposal of surplus and unsuitable material cut road with in all lifts and leads including transportation and disposal of surplus and unsuitable material complete as per Technical Specification Clause 301.</t>
  </si>
  <si>
    <t>i) All types of  soil</t>
  </si>
  <si>
    <t xml:space="preserve">ii) Excavation for roadway in Soft Rock </t>
  </si>
  <si>
    <t>iii) Excavation in hard rock requiring Open blasting, by drilling &amp; blasting</t>
  </si>
  <si>
    <t xml:space="preserve">iv) Excavation for roadway in hard rock (blasting prohibited) with rock breakers </t>
  </si>
  <si>
    <t>v) Excavation for roadway in hard rock (controlled blasting) by drilling, blasting and breaking,</t>
  </si>
  <si>
    <t>Construction of embankment complete as per Technical Specification Clause 305 with approved material from borrow areas. i.e. Stripping, storing and reapplication of top soil complete as per Technical Specification Clause 301,305, borrow excavation with all lead and lift and  Loosening, levelling,  and Compacting original ground supporting embankment to facilitate placement of first layer of embankment, mixed with water at OMC and then compacted by rolling so as to achieve minimum dry density as given in Table 300-2 for embankment construction as per Technical Specification Clause 305.3.4.  Item rate shall be inclusive of all material, taxes, duties, manpower, equipment cost, royalties, transportation, etc.</t>
  </si>
  <si>
    <t>Construction of embankment with approved materials obtained from roadway, drainage &amp; structure excavation, including lead upto 5 Km and all lifts, as per direction of the Engineer and as per Technical Specification Clause 305. Including  Loosening, levelling and Compacting original ground supporting embankment to facilitate placement of first layer of embankment, mixed with water at OMC and then compacted by rolling so as to achieve minimum dry density as given in Table 300-2 for embankment construction as per Technical Specification Clause 305.3.4 . Item rate shall be inclusive of all material, taxes, duties, manpower, equipment cost, royalties, transportation, etc.</t>
  </si>
  <si>
    <t>Construction of Embankment with fly ash as per direction of the Engineer and as per Technical Specification Clause 305. Including  Loosening, levell</t>
  </si>
  <si>
    <t>2.03A</t>
  </si>
  <si>
    <t>Construction of Embankment at approaches of RE Wall with approved material having properties of C=0 &amp; φ=30 complete as per technical specifications .</t>
  </si>
  <si>
    <t>Construction of subgrade and earthen shoulders (minimum soaked CBR 15 %)  complete with approved material obtained from borrow areas with all lifts &amp; leads, transporting to site, spreading, grading to required slope and compacted to meet requirement of table No. 300-2 as per availability and as per Technical Specifications Clause 305.  Item rate shall be inclusive of all material, taxes, duties, manpower, equipment cost, royalties, transportation, etc.</t>
  </si>
  <si>
    <t>Filling of median and Island with approved material brought from borrow pits, spread, sloped and compacted as per clause 407. Item rate shall be inclusive of all material, taxes, duties, manpower, equipment cost, royalties, transportation, etc.</t>
  </si>
  <si>
    <t>BILL No 3</t>
  </si>
  <si>
    <t>SUB-BASE AND BASE COURSES</t>
  </si>
  <si>
    <t>Construction of Granular Sub-Base by providing coarse graded material, spreading in uniform layers with motor grader on prepared surface, mixing by mix in place method with rotavator at OMC, and compacting with vibratory roller to achieve the desired density, conforming to Grading-I (Table 400-2), as per Technical Specification Clause 401. Item rate shall be inclusive of all material, taxes, duties, manpower, equipment cost, royalties, transportation, etc.</t>
  </si>
  <si>
    <t>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complete as per Technical Specification Clause 406.  Item rate shall be inclusive of all material, taxes, duties, manpower, equipment cost, royalties, transportation, etc.</t>
  </si>
  <si>
    <t>BILL No 4</t>
  </si>
  <si>
    <t>BITUMINOUS WORKS</t>
  </si>
  <si>
    <t>Providing and applying primer coat with bitumen emulsion on prepared surface of granular Base including clearing of road surface and spraying primer at the rate of 0.6 to 0.9 kg/sqm using mechanical means complete as per Technical Specification Clause 502.</t>
  </si>
  <si>
    <t>Sqm</t>
  </si>
  <si>
    <t xml:space="preserve">Providing bituminous Tack coat with bituminous emulsion as per IS:8887 all complete as per Technical Specification Clause 503 cleaned with mechanical broom </t>
  </si>
  <si>
    <t>i) On Bituminous Surface @ 0.2 to 0.25 Kg/Sqm</t>
  </si>
  <si>
    <t>Providing and laying dense bituminous macadam with batch type HMP producing mix using crushed aggregates of specified grading, premixed with bituminous binder of VG-30 and filler, transporting the hot mix to work site, laying with a hydrostatic paver finisher with sensor control to the required grade, level and alignment, rolling with smooth wheeled, vibratory and tandem rollers to achieve the desired compaction as per MoRT&amp;H specification clause No. 507 complete in all respects. Item rate shall be inclusive of all material, taxes, duties, manpower, equipment cost, royalties, transportation, etc.</t>
  </si>
  <si>
    <t>VG 40</t>
  </si>
  <si>
    <t>Grading II  with Bulk Bitumen for Homogenious Section - II</t>
  </si>
  <si>
    <t>509 &amp; 521</t>
  </si>
  <si>
    <t xml:space="preserve">VG 40 </t>
  </si>
  <si>
    <t>Providing &amp; laying Dry Lean Concrete subbase as per MoRTH Spec (Fourth Revision) Cl 601 and as approved by the Engineer.</t>
  </si>
  <si>
    <t>Providing &amp; laying Pavement Quality Concrete of M45 Grade of specified thickness in Toll Plaza area using minimum cement content 350 kg/cu.m. with slip form paver  as per MoRTH Spec (Fourth Revision) Cl 602 and as approved by the Engineer.</t>
  </si>
  <si>
    <t>Bill No 5</t>
  </si>
  <si>
    <t>Culverts</t>
  </si>
  <si>
    <t>Earthwork in excavation for foundation in structure including all leads and lifts as per drawing  and Technical specifications  clause no 304</t>
  </si>
  <si>
    <t>Providing Back filling behind abutments, wing walls and return walls, with selected imported granular material of approved quality including all leads and lifts complete as per Technical Specification Clause 305.</t>
  </si>
  <si>
    <t>Filter media behind abutments,wing walls and return walls complete with all leads and lifts  as per drawing and Technical Specification Clause 2200</t>
  </si>
  <si>
    <t xml:space="preserve">Providing and laying in position Plain Cement Concrete of Grade M -15 in levelling course below open foundations, abutment, pile caps, approach slabs, retaning wall , wing wall,box structure ,curtain wall, floor apron as per drawings and Technical Specifications Sections 1700 and 2700 </t>
  </si>
  <si>
    <t>Providing and laying in position Plain/ Reinforced cement concrete for foundations and substructure excluding cost of steel complete as per drawing and Technical Specifications Section 1500,1700, 2100  &amp; 2200</t>
  </si>
  <si>
    <t>a) M15 grade</t>
  </si>
  <si>
    <t>b) M 20 grade</t>
  </si>
  <si>
    <t>c) M25 grade</t>
  </si>
  <si>
    <t>d) CRM</t>
  </si>
  <si>
    <t>e) M35 grade</t>
  </si>
  <si>
    <t>Providing and laying Reinforced cement concrete for box / slab culverts in superstructure excluding cost of steel complete as per drawing and Technical Specifications Sections 1500, 1700 and 2300</t>
  </si>
  <si>
    <t>a) M 25 grade</t>
  </si>
  <si>
    <t>Providing and laying Head Wall of Pipe culvert/ Abutment/Pier/ Wing walls of culverts of Brick Masonary/ Stone masonary parapet etc.as per drawing and Technical Specifications and as per direction of the Engineer</t>
  </si>
  <si>
    <t xml:space="preserve">HYSD bar reinforcement complete for foundation, substructure and superstructure as per drawing and Technical Specification  clause no 1600. </t>
  </si>
  <si>
    <t>Foundation</t>
  </si>
  <si>
    <t>T</t>
  </si>
  <si>
    <t>Sub-structure</t>
  </si>
  <si>
    <t>Super-structure</t>
  </si>
  <si>
    <t>MT</t>
  </si>
  <si>
    <t>Sub-Structure</t>
  </si>
  <si>
    <t>Super-Structure</t>
  </si>
  <si>
    <t>Providing and laying Stone pitching/Apron complete as per drawings and Technical Specification 2504</t>
  </si>
  <si>
    <t xml:space="preserve">Providing and laying filter media below stone pitching/ apron complete as per, Technical Specification Clause 2504 </t>
  </si>
  <si>
    <t>Providing weep holes in abutments, wing walls and return walls complete as per drawing and Technical Specification 2706.</t>
  </si>
  <si>
    <t>No.</t>
  </si>
  <si>
    <t>Providing and fixing Asphaltic plug type expansion joints complete as per drawing and Technical Specifications Section 2600.</t>
  </si>
  <si>
    <t>Lm</t>
  </si>
  <si>
    <t>Painting culvert No. complete as per Technical specification section 800</t>
  </si>
  <si>
    <t>Nr.</t>
  </si>
  <si>
    <t>Providing and laying selected granular material for pipe bedding as per drawing and technical specification clause 2904</t>
  </si>
  <si>
    <t>Providing, laying and jointing NP-4 (as per IS: 458-1988) Hume pipes for culverts complete as per drawing and  technical specification section 2900 and IRC : SP : 13-1973.</t>
  </si>
  <si>
    <t>a) 600 dia</t>
  </si>
  <si>
    <t>b) 750 dia</t>
  </si>
  <si>
    <t>c) 900 dia</t>
  </si>
  <si>
    <t>d) 1000 dia</t>
  </si>
  <si>
    <t>e) 1200 dia</t>
  </si>
  <si>
    <t xml:space="preserve">Providing and fixing in position drainage spouts complete as per drawings and Technical Specifications Clause 2705 . </t>
  </si>
  <si>
    <t xml:space="preserve">Providing and laying tar paper bearing complete as per IS-1398 &amp; Technical Specification section 2000 . </t>
  </si>
  <si>
    <t>M20 RCC Precast Guard Stone in M15 Foundation Block as per drawing and technical specification section 1700</t>
  </si>
  <si>
    <t>Cement plaster 12mm thick in cement mortar 1:3 complete as per drawing and Technical Specifications Section 1000 and 1300 and as directed by the Engineer</t>
  </si>
  <si>
    <t xml:space="preserve">Dismantling structures (superstructure, substructure, foundation and other miscellaneous structures), dismantling of pavements as per Technical Specification Clause 202, section 2800 </t>
  </si>
  <si>
    <t>a) Brick/ Stone masonary</t>
  </si>
  <si>
    <t>b) PCC</t>
  </si>
  <si>
    <t>c) RCC</t>
  </si>
  <si>
    <t>d) RCC Pipe</t>
  </si>
  <si>
    <t>1000 thick flexible stone apron as per Clause No. 2503.1 of MOST specification and as per direction of the Engineer</t>
  </si>
  <si>
    <t>150 mm thick Flat stone apron embedded in 300 thick M15 concrete as per Clause No. 2505.2 of MOST specification and as per direction of the Engineer</t>
  </si>
  <si>
    <t>Providing Reinforced Cement Concrete M 30 grade in approach slabs including reinforcement complete as per drawings and Technical Specifications 1500,1600 and 1700 &amp; 2704</t>
  </si>
  <si>
    <t xml:space="preserve">Providing and laying in position 65 mm thick wearing coat consisting of 40 mm thick bituminous concrete over a 25 mm thick layer of mastic asphalt over deck slab after applying prime coat complete as per drawings and Technical Specifications Sections 500 </t>
  </si>
  <si>
    <t xml:space="preserve">Providing and laying in position Reinforced Cement Concrete of Grade M 40 crash barrier including cost of reinforcement complete as per drawings and Technical Specifications Sections 800,1500, 1600, 1700 and 2700 . </t>
  </si>
  <si>
    <t>Construction of precast RCC railing of M30 Grade including steel (Concrete 0.085 Cum/Rmt and steel 18 Kg/Rmt),</t>
  </si>
  <si>
    <t>BILL No 6</t>
  </si>
  <si>
    <t>ROAD MARKINGS &amp; SIGN BOARDS</t>
  </si>
  <si>
    <t>Thermoplastic pavement marking with hot applied thermoplastic  materials for road markings with surface application of glass beads at specified rate complete as per drawing, Technical Specification Clause 803 and as directed by the Engineer for 2.5 mm thickness of marking (excluding drop on glass beads) and consisting of  Centreline and Edge markings.</t>
  </si>
  <si>
    <t xml:space="preserve">804
</t>
  </si>
  <si>
    <t>Providing and fixing Kilometre stone of standard design as per IRC:8-1980, fixing in position including painting and printing etc.as per Technical Specification Clause 804 and as directed by the Engineer.</t>
  </si>
  <si>
    <t>i)</t>
  </si>
  <si>
    <t xml:space="preserve"> 5th kilometer stones</t>
  </si>
  <si>
    <t>ii)</t>
  </si>
  <si>
    <t xml:space="preserve">Ordinary Kilometer stones </t>
  </si>
  <si>
    <t>iii)</t>
  </si>
  <si>
    <t xml:space="preserve"> Hectometer stones </t>
  </si>
  <si>
    <t>Providing and erecting Boundary Stones of standard  design as per IRC :25 -1967, fixed in position including finishing, lettering and painting as per Technical Specification Clause 806 and as directed by the Engineer.</t>
  </si>
  <si>
    <t>Sign Board</t>
  </si>
  <si>
    <t>Octagonal STOP sign board</t>
  </si>
  <si>
    <t>Circular 600mm dia board</t>
  </si>
  <si>
    <t>Route Marker sign board</t>
  </si>
  <si>
    <t>Advance Rotary sign board</t>
  </si>
  <si>
    <t>Informatory Sign board</t>
  </si>
  <si>
    <t>Over head sign Board</t>
  </si>
  <si>
    <t>Normal Stud</t>
  </si>
  <si>
    <t>Delineator</t>
  </si>
  <si>
    <t>Construction of plain cement concrete  kerb &amp; channel M-20 grade including foundation complete as per drawing &amp; Technical Specifications Clause 408.</t>
  </si>
  <si>
    <t>BILL No 7</t>
  </si>
  <si>
    <t>Drainage and Protection Works</t>
  </si>
  <si>
    <t>Excavation for drains including surface dressing all lifts and leads  complete as per drawing and Technical Specification Clause 304</t>
  </si>
  <si>
    <t>i) All types of soil, including backfilling up to ground level with approved material as directed by Engineer-in-Charge</t>
  </si>
  <si>
    <t>ii) Ordinary Rock</t>
  </si>
  <si>
    <t>iii) Hard Rock required controlled blasting</t>
  </si>
  <si>
    <t>iv) Hard Rock blasting prohibited</t>
  </si>
  <si>
    <t xml:space="preserve">Construction of Drain with Coursed Rubble Stone masonry work in cement mortar 1:3 for foundation/substructure including staging and treatment of joints complete as per drawing, Technical Specification Section 1400 and as directed by the Engineer. Item rate shall be inclusive of all material, taxes, duties, manpower, equipment cost, royalties, transportation, etc. </t>
  </si>
  <si>
    <t>Retaining Structures</t>
  </si>
  <si>
    <t xml:space="preserve">Excavation for foundation for structures including all lifts and leads complete as per drawing and Technical Specification Clause 304 including disposal </t>
  </si>
  <si>
    <t>1500 &amp; 1700</t>
  </si>
  <si>
    <t>Providing Plain Cement Concrete M15 in the levelling course of Retaining wall, Toe wall etc. including cost of all materials, formwork, labour, mixing, transportation, placing, vibration, curing etc. complete as per drawing and Technical Specification Section 1500 and 1700. Item rate shall be inclusive of all material, taxes, duties, manpower, equipment cost, royalties, transportation, etc.</t>
  </si>
  <si>
    <t>1500, 1700 &amp; 2200</t>
  </si>
  <si>
    <t>Providing and laying M-25 Reinforced Cement Concrete in Foundation excluding reinforcement but including formwork for Retaining wall as per drawings and Technical Specifications Clause 309 and Section 1500, 1700 and 2200. Item rate shall be inclusive of all material, taxes, duties, manpower, equipment cost, royalties, transportation, etc.</t>
  </si>
  <si>
    <t>Providing and laying M-25 Reinforced Cement Concrete in sub structure excluding reinforcement but including formwork for Retaining Wall including three coats of snowcem paint on exposed surfaces only as per drawings and Technical Specifications Clause 309 and Section 1500, 1700 and 2200. Item rate shall be inclusive of all material, taxes, duties, manpower, equipment cost, royalties, transportation, etc.</t>
  </si>
  <si>
    <t xml:space="preserve">Providing, Supplying and Fixing in position HYSD/TMT - Fe 500 reinforcement  including cutting , bending, binding etc complete as per drawing and Specifications. Laps,  chairs and wastage shall be included in the rate and shall not be considered in the measurement. </t>
  </si>
  <si>
    <t>710.1.4 of IRC 78 and 2500</t>
  </si>
  <si>
    <t>Providing and laying of Filter media satisfying the requirements laid down in clause 2504.2.2. of MoRT&amp;H specifications to a thickness of not less than 600 mm with smaller size towards the soil and bigger size towards the wall and the entire surface compacted to a firm condition complete as per drawing and Technical Specification 2500. Item rate shall be inclusive of all material, taxes, duties, manpower, equipment cost, royalties, transportation, etc.</t>
  </si>
  <si>
    <t>Providing weep holes in Plain/Reinforced concrete abutment,  wing wall, return wall with 100 mm dia PVC pipe, extending through the full width of the structure with slope of 1V :20H towards drawing face. Complete as per drawing and Technical specifications Section 2700</t>
  </si>
  <si>
    <t>Providing and construction of Coursed Rubble Stone masonry work in cement mortar 1:3 for foundation/substructure including staging and treatment of joints complete as per drawing etc. complete as per technical specifications and as directed by the Engineer. Item rate shall be inclusive of all material, taxes, duties, manpower, equipment cost, royalties, transportation, etc.</t>
  </si>
  <si>
    <t>a) Providing and laying stone pitching on slopes with stone boulders weighing not less than 40 kg each laid over prepared filter media complete as per drawing and Technical Specifications Section 2500. Item rate shall be inclusive of all material, taxes, duties, manpower, equipment cost, royalties, transportation, etc.</t>
  </si>
  <si>
    <t>b) Providing and laying Chute Drain as per approved drawing. Item rate shall be inclusive of all material, taxes, duties, manpower, equipment cost, royalties, transportation, etc.</t>
  </si>
  <si>
    <t>c) Providing and laying Energy Dissipation chamber as per approved drawing. Item rate shall be inclusive of all material, taxes, duties, manpower, equipment cost, royalties, transportation, etc.</t>
  </si>
  <si>
    <t>Filter material underneath stone pitching complete as per drawing and technical specification section 2500.</t>
  </si>
  <si>
    <t>Providing and laying of Turfing on embankment slopes and on islands with green grass sods as per Technical Specification Clause No. 307.</t>
  </si>
  <si>
    <t xml:space="preserve">Providing and erecting a single side single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 </t>
  </si>
  <si>
    <t>a) Construction of cement concrete kerb in M-20 grade PCC using kerb laying machine/ pre cast kerb all complete as as per drawing and as per clause 408. Item rate shall be inclusive of all material, taxes, duties, manpower, equipment cost, royalties, transportation, etc.</t>
  </si>
  <si>
    <t>RCC M40 Friction Slab on RE Wall approaches including steel</t>
  </si>
  <si>
    <t>Providing and erecting precast reinforced concrete facia panels of M-35 grade including untensioned reinforcement, soil reinforcing elements with all fixtures and accessories and drainage system complete</t>
  </si>
  <si>
    <t>BILL No 8</t>
  </si>
  <si>
    <t xml:space="preserve"> BRIDGES</t>
  </si>
  <si>
    <t>Earth work in excavation of foundation of structures as per drawing and technical specification, including setting out, construction of shoring and bracing, removal of stumps and other deleterious matter, dressing of sides and bottom and backfilling with approved material.Ref. to MORT&amp;H specification 304.</t>
  </si>
  <si>
    <t xml:space="preserve">i) Ordinary Soil </t>
  </si>
  <si>
    <t>ii) Ordinary Rock (not required blasting)</t>
  </si>
  <si>
    <t>iii) Hard Rock required blasting</t>
  </si>
  <si>
    <t>Replacement (including excavation and filling) of patches of soft/loose/SBC&lt;10 tonne/Sqm soil in bearing area of foundation with compacted granular fill with layers not exceeding 300 mm as per design Drawing &amp; Technical Specification clause 304 or as directed by Engineer-in-Charge. Item rate shall be inclusive of all material, taxes, duties, manpower, equipment cost, royalties, transportation, etc.</t>
  </si>
  <si>
    <t>1500, 1700 &amp; 2100</t>
  </si>
  <si>
    <t>Plain Cement Concrete Grade M 15 in levelling course, annular filling, below approach slab, pile cap etc. complete as per drawings and Technical Specifications Section 1500,1700 and 2100. Item rate shall be inclusive of all material, taxes, duties, manpower, equipment cost, royalties, transportation, etc.</t>
  </si>
  <si>
    <t>8.02A</t>
  </si>
  <si>
    <t>Plain Cement Concrete Grade M 15 in levelling course below approach slab complete as per drawings and Technical Specifications Section 1500,1700 and 2100. Item rate shall be inclusive of all material, taxes, duties, manpower, equipment cost, royalties, transportation, etc.</t>
  </si>
  <si>
    <t xml:space="preserve">1500, 1700, 2100, 2200 </t>
  </si>
  <si>
    <t>Structural  Plain Cement Concrete M 15 for Curtain wall etc. including formwork,  excluding reinforcement complete as per drawing, Technical Specification Sections 1500, 1700, 2100 &amp; 2200. Item rate shall be inclusive of all material, taxes, duties, manpower, equipment cost, royalties, transportation, etc.</t>
  </si>
  <si>
    <t>1500, 1700, 2100, 2200 &amp; 2300</t>
  </si>
  <si>
    <t>Providing and laying M-20 Plain Cement Concrete excluding reinforcement but including formwork for toe wall as per drawings and Technical Specifications Clause 309 and Section 1500, 1700, 2100 and 2200. Item rate shall be inclusive of all material, taxes, duties, manpower, equipment cost, royalties, transportation, etc.</t>
  </si>
  <si>
    <t>i) Foundation</t>
  </si>
  <si>
    <t>ii) Substructure</t>
  </si>
  <si>
    <t>Reinforced  cement concrete in foundation for piers, abutments, wing walls, retaining walls etc. including formwork, machinery and workmanship complete as per drawing and Technical Specifications Section 1500, 1700 and 2100. Item rate shall be inclusive of all material, taxes, duties, manpower, equipment cost, royalties, transportation, etc.</t>
  </si>
  <si>
    <t>i) RCC M20</t>
  </si>
  <si>
    <t>ii) RCC M25</t>
  </si>
  <si>
    <t>iii) RCC M30</t>
  </si>
  <si>
    <t>iv) RCC M35</t>
  </si>
  <si>
    <t>v)  RCC M40</t>
  </si>
  <si>
    <t>Reinforced  cement concrete in foundation for pile cap including formwork, machinery and workmanship complete as per drawing and Technical Specifications Section 1500, 1700 and 1100. Item rate shall be inclusive of all material, taxes, duties, manpower, equipment cost, royalties, transportation, etc.</t>
  </si>
  <si>
    <t xml:space="preserve">i) RCC M35 </t>
  </si>
  <si>
    <t>ii) RCC M40</t>
  </si>
  <si>
    <t>Reinforced  cement concrete in substructure for piers, abutments, wing walls, retaining walls Abutment cap, Dirt wall, bracket for dirt wall,  Pier cap, Pedestal, Seismic arrester etc. including formwork, machinery and workmanship complete as per drawing and Technical Specifications Section 1500, 1700 and 2200. Item rate shall be inclusive of all material, taxes, duties, manpower, equipment cost, royalties, transportation, etc.</t>
  </si>
  <si>
    <t>1500, 1600, 1700, 2300 &amp; 2700</t>
  </si>
  <si>
    <t>Structural cement concrete for reinforced concrete in superstructure complete for RCC (cast in situ) deck slab, any type of girders, voided slab, etc. excluding cost of steel reinforcement including shuttering and staging complete, including transportation and launching of pre cast elements at location (if applicable) as per drawing and Technical Specification Sections 1500, 1700,  2300 and 2700 . Item rate shall be inclusive of all material, taxes, duties, manpower, equipment cost, royalties, transportation, etc.</t>
  </si>
  <si>
    <t>i) RCC M25</t>
  </si>
  <si>
    <t>ii) RCC M30</t>
  </si>
  <si>
    <t>iii) RCC M35</t>
  </si>
  <si>
    <t>iv) RCC M40</t>
  </si>
  <si>
    <t>v) RCC M45</t>
  </si>
  <si>
    <t>8.09 A</t>
  </si>
  <si>
    <t>Structural cement concrete for reinforced concrete in superstructure complete for RCC (precast) deck slab, any type of girders, voided slab, etc. excluding cost of steel reinforcement including shuttering and staging complete, including transportation and launching of pre cast elements at location (if applicable) as per drawing and Technical Specification Sections 1500, 1700,  2300 and 2700 . Item rate shall be inclusive of all material, taxes, duties, manpower, equipment cost, royalties, transportation, etc.</t>
  </si>
  <si>
    <t>1500, 1700, 1800, 2300 &amp; 2700</t>
  </si>
  <si>
    <t>Structural cement concrete for reinforced concrete in superstructure complete for PSC (cast in situ) deck slab, any type of girders, voided slab, etc. excluding cost of steel reinforcement including shuttering and staging complete, including transportation and launching of pre cast elements at location (if applicable) as per drawing and Technical Specification Sections 1500, 1700,  2300 and 2700 . Item rate shall be inclusive of all material, taxes, duties, manpower, equipment cost, royalties, transportation, etc.</t>
  </si>
  <si>
    <t>i) PSC M40</t>
  </si>
  <si>
    <t>ii) PSC M45</t>
  </si>
  <si>
    <t>iii) PSC M50</t>
  </si>
  <si>
    <t>iv) PSC M55</t>
  </si>
  <si>
    <t>8.10 B</t>
  </si>
  <si>
    <t>Structural cement concrete for reinforced concrete in superstructure complete for PSC (precast) deck slab, any type of girders, voided slab, etc. excluding cost of steel reinforcement including shuttering and staging complete, including transportation and launching of pre cast elements at location (if applicable) as per drawing and Technical Specification Sections 1500, 1700,  2300 and 2700 . Item rate shall be inclusive of all material, taxes, duties, manpower, equipment cost, royalties, transportation, etc.</t>
  </si>
  <si>
    <t>2700
515</t>
  </si>
  <si>
    <t>Providing and laying   Bituminous  wearing course of 65 mm (40mm thick BC and 25 mm thick mastic asphalt) as per technical specification and as directed by the Engineer. Item rate shall be inclusive of all material, taxes, duties, manpower, equipment cost, royalties, transportation, etc.</t>
  </si>
  <si>
    <t>1900, IS 2062
IRC 22 &amp;
IRC 24</t>
  </si>
  <si>
    <t>A. Structural Steel/Composite Superstructure
Supply and fabrication of Mild Steel as per IS 2062 including drilling, welding, riveting, grinding supply of bolts, nuts, washers, fixtures etc. at site. 
Assembling, erection of fabricated steel structure  to proper line, level and camber as per approved drawings and technical specifications section 1900 complete including transportation and handling, painting all exposed surfaces of steel work after erection with one coat of red lead primer paint to IS 102 and two coats of paint including all labour consumable other material machinery tools and tackles complete as per specification and directed by engineers including furnishing of detailed erection scheme and getting the same approved from competent authority</t>
  </si>
  <si>
    <t>B. Structural Steel/Composite Superstructure
Supply and fabrication of High Grade Steel - E 410 as per IS 2062 including drilling, welding, riveting, grinding supply of bolts, nuts, washers, fixtures etc. at site. 
Assembling, erection of fabricated steel structure  to proper line, level and camber as per approved drawings and technical specifications section 1900 complete including transportation and handling, painting all exposed surfaces of steel work after erection with one coat of red lead primer paint to IS 102 and two coats of paint including all labour consumable other material machinery tools and tackles complete as per specification and directed by engineers including furnishing of detailed erection scheme and getting the same approved from competent authority</t>
  </si>
  <si>
    <t xml:space="preserve">Providing and Fixing High tensile steel wires/strands including all accessories for stressing, stressing operations and grouting complete as per drawing and Technical specifications </t>
  </si>
  <si>
    <t>305 &amp; 
2900</t>
  </si>
  <si>
    <t>Back filling behind abutment, wing wall/retaining wall and return walls or other area as per Technical Specification Clauses Clause 305 and Section of IRC 78. Item rate shall be inclusive of all material, taxes, duties, manpower, equipment cost, royalties, transportation, etc.</t>
  </si>
  <si>
    <t>i) With selected granular materials</t>
  </si>
  <si>
    <t>ii) Selected material</t>
  </si>
  <si>
    <t>Providing and laying of Filter media behind walls of Abutment, retaining wall etc. with granular materials/stone crushed aggregates satisfying the requirements laid down in clause 2504.2.2. of MoRT&amp;H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 2504. Item rate shall be inclusive of all material, taxes, duties, manpower, equipment cost, royalties, transportation, etc.</t>
  </si>
  <si>
    <t xml:space="preserve">i) With Crushed Material </t>
  </si>
  <si>
    <t>ii) With Natural Material</t>
  </si>
  <si>
    <t>Providing and fixing of drainage spouts along with drain pipes complete as per drawing and Technical Specifications Section 2705 and as directed by the Engineer.</t>
  </si>
  <si>
    <t>Providing and laying of boulder apron on river bed for protection against scour with stone boulders weighing not less than 40 kg each as per Technical Specification clause 2503 and as directed by the Engineer.  Item rate shall be inclusive of all material, taxes, duties, manpower, equipment cost, royalties, transportation, etc.</t>
  </si>
  <si>
    <t>Providing 150mm thick Flat Stone Apron embedded in 300mm thick concrete (M15) complete as per technical specifications. Item rate shall be inclusive of all material, taxes, duties, manpower, equipment cost, royalties, transportation, etc.</t>
  </si>
  <si>
    <t>2000 &amp;
IS 1398</t>
  </si>
  <si>
    <t>Providing and fixing in position Tar Paper Bearing  complete as per Specification and as directed by the Engineer</t>
  </si>
  <si>
    <t>2000
&amp; IS 1398</t>
  </si>
  <si>
    <t>Providing fitting and fixing in position Elastomeric bearing  complete as per Specification and as directed by the Engineer</t>
  </si>
  <si>
    <t>Cu cm</t>
  </si>
  <si>
    <t>Providing,  fitting and fixing in position true to line and level POT-PTFE bearing consisting of a metal piston supported by a disc or unreinforced elastomer confined within a metal cylinder,  sealing rings,  dust seals,  PTFE surface sliding against stainless steel mating surface,  complete assembly to be of cast steel/fabricated structural steel,  metal and elastomer elements to be as per IRC: 83 part-I &amp; II respectively and other parts conforming to BS: 5400,  section 9.1 &amp; 9.2 and clause 2006 of MoRT&amp;H Specifications complete as per drawing and approved technical specifications. with anti corrosive coating</t>
  </si>
  <si>
    <t xml:space="preserve">i) Free Type </t>
  </si>
  <si>
    <t>ii) Fixed Type</t>
  </si>
  <si>
    <t>1500, 1700, 2300 &amp; 2700</t>
  </si>
  <si>
    <t>Reinforced cement concrete M-30 in approach slab including shuttering and reinforcement (80 Kg/cum)complete as per drawing and Technical Specification Sections 1500, 1700, 2300 and 2700. Item rate shall be inclusive of all material, taxes, duties, manpower, equipment cost, royalties, transportation, etc.</t>
  </si>
  <si>
    <t>1500, 1600, 1700 &amp; 2700</t>
  </si>
  <si>
    <t xml:space="preserve">Construction of precast RCC railing of M30 Grade (Concrete 0.085 Cum/Rmt and steel 18 Kg/Rmt), aggregate size not exceeding 12 mm, true to line and grade, tolerance of vertical RCC post not to exceed 1 in 500, centre to centre spacing between vertical post not to exceed 2000 mm, leaving adequate space between vertical post for expansion, including three coats of snowcem paint on exposed surfaces complete as per approved drawings and technical specifications. Item rate shall be inclusive of all material, taxes, duties, manpower, equipment cost, royalties, transportation, etc.
</t>
  </si>
  <si>
    <t>809, 1500, 1600 &amp; 1700
as per IRC-6.</t>
  </si>
  <si>
    <t>Providing and constructing RCC crash barrier M-40 grade including centering, shuttering, including three coats of snowcem paint on exposed surfaces and reinforcement  (Concrete 0.3 Cum/Rmt and steel 28 Kg/Rmt), including Heavy Class Pipe on top of Crash Barrier fixed with Mild Steel Plate @ 1000 mm c/c including Base Plate fixed with U Bolts, Nuts and Washers, including red oxide and two coat of suitable paint etc. all complete as per approved Drawings and Technical Specifications 1500, 1600, 1700 and as per IRC-6. Item rate shall be inclusive of all material, taxes, duties, manpower, equipment cost, royalties, transportation, etc.</t>
  </si>
  <si>
    <t>8.25A</t>
  </si>
  <si>
    <t>Providing and laying Filter material underneath pitching in slopes complete as per drawing and Technical specification clause 2504. Item rate shall be inclusive of all material, taxes, duties, manpower, equipment cost, royalties, transportation, etc.</t>
  </si>
  <si>
    <t>Providing and laying  pitching on slopes laid over prepared filter material including boulder apron laid dry in front of toe of embankment complete as per drawing and Technical specification clause 2504. Item rate shall be inclusive of all material, taxes, duties, manpower, equipment cost, royalties, transportation, etc.</t>
  </si>
  <si>
    <t>Providing and laying pipes for Bridges</t>
  </si>
  <si>
    <t>i)  Down take GI Pipe  (150 dia)</t>
  </si>
  <si>
    <t>ii)  Down take PVC Pipe (150 dia)</t>
  </si>
  <si>
    <t>iii)  Service PVC Pipe (150 dia)</t>
  </si>
  <si>
    <t>Strip Seal Joint</t>
  </si>
  <si>
    <t>i) Providing and laying of strip seal expansion joint catering to maximum horizontal movement up to 70 mm,complete as per approved drawing and standard specifications to be instlled by manufacturer/supplier or their autherized representative ensuring compliances to the manufacturer's instructions for installations.</t>
  </si>
  <si>
    <t>ii) Providing and laying of a modular strip Box steel expansion joint including anchorage catering to a horizontal movement beyond 70 mm and upto 140mm,  complete as per approved drawings and standard specifications to be installed by the manufacturer/supplier or their authorised representative ensuring compliance to the manufacturer's instructions for installation.)</t>
  </si>
  <si>
    <t>iii) Providing and laying of a modular strip box seal expansion joint catering to a horizontal movement beyond 140mm and upto 210mm,  complete as per approved drawings and standard specifications to be installed by the manufacturer/supplier or their authorised representative ensuring compliance to the manufacturer's instructions for installation.)</t>
  </si>
  <si>
    <t>iv) Filler Joint : Providing &amp; fixing 20 mm thick compressible fibre board in expansion joint complete as per drawing &amp; Technical Specification.</t>
  </si>
  <si>
    <t>1100 &amp; 1700</t>
  </si>
  <si>
    <t>Providing Bored cast-in-situ M35 grade R.C.C. Pile including boring, excluding reinforcement complete as per Drawing and Technical Specifications and removal of excavated earth with all lifts and lead upto 1000 m. Item rate shall be inclusive of all material, taxes, duties, manpower, equipment cost, royalties, transportation, etc.</t>
  </si>
  <si>
    <t>i) Pile Diameter - 1000mm</t>
  </si>
  <si>
    <t>ii) Pile Diameter - 1200mm</t>
  </si>
  <si>
    <t>iii) Pile Diameter - 1500mm</t>
  </si>
  <si>
    <t>Providing Bored cast-in-situ M40 grade R.C.C. Pile including boring, excluding reinforcement complete as per Drawing and Technical Specifications and removal of excavated earth with all lifts and lead upto 1000 m. Item rate shall be inclusive of all material, taxes, duties, manpower, equipment cost, royalties, transportation, etc.</t>
  </si>
  <si>
    <t>Providing Steel Liner for Piles including Fabricating and Setting out as per Detailed approved Drawing.</t>
  </si>
  <si>
    <t>1113
IS 2911 (IV)</t>
  </si>
  <si>
    <t>Carrying out load test on any pile as per standard procedure   laid down   in   the   IS:2911   specification including construction of test cap, dismantling the cap after test  and   cleaning  the  site   and maintaining complete records of load settlement as directed by Engineer and as per specification Section 1100 and submission of records.</t>
  </si>
  <si>
    <t>i)  Initial Load Test on test pile for 2.5 times the design load specified in Drawings</t>
  </si>
  <si>
    <t>ii)  Routine pile load test on working pile for a test load of 1.5 times the design load specified in Drawings.</t>
  </si>
  <si>
    <t>iii)  Initial Horizontal pile load test on test pile for a test load of 2.0 times the design load specified in Drawings</t>
  </si>
  <si>
    <t xml:space="preserve">iv)  Routine Static Pile Load Test  </t>
  </si>
  <si>
    <t xml:space="preserve">v)  Routine Dynamic Pile Load Test </t>
  </si>
  <si>
    <t>IRC SP:51</t>
  </si>
  <si>
    <t>Carrying out load test of super structure as directed including all necessary materials, plant equipments, instruments, labour &amp; arrangements for test as required.</t>
  </si>
  <si>
    <t>Providing and Constructing footpath including cost of providing and laying precast tiles of 25mm thick, preparation of base, drain pipes all complete as per drawing and Technical Specifications Clause 409. Item rate shall be inclusive of all material, taxes, duties, manpower, equipment cost, royalties, transportation, etc.</t>
  </si>
  <si>
    <t>IRC-7</t>
  </si>
  <si>
    <t>Providing and painting with Synthetic enamel paints of approved quality on bridges with Bridge No. and Span arrangements as per IRC-7 and as directed by Engineer</t>
  </si>
  <si>
    <t>BILL No 9</t>
  </si>
  <si>
    <t>Miscellaneous</t>
  </si>
  <si>
    <t>Supplying, laying and jointing RCC NP3 class pipes across the road as per Technical Specifications Section 2900 and as directed by the Engineer.</t>
  </si>
  <si>
    <t>i) 300 mm dia (For utilility crossings)</t>
  </si>
  <si>
    <t>ii) 1000 mm dia (For crossing of drains at Junction locations)</t>
  </si>
  <si>
    <t>Avenue plantations : Planting of trees with tree guards 
(Plants averaging Height between 3.5 to 5  feet) including including procuring, transporting plants from nursery to site, Digging pits, supply of water, chemical fertilizer complete as per technical specifications one year maintenance.</t>
  </si>
  <si>
    <t>RCC M30 Railing</t>
  </si>
  <si>
    <t>Sand Filling beneath Pavers</t>
  </si>
  <si>
    <t>Paver Block</t>
  </si>
  <si>
    <t>Guard stone</t>
  </si>
  <si>
    <t xml:space="preserve">MS railing </t>
  </si>
  <si>
    <t>BILL No.  10</t>
  </si>
  <si>
    <t>Junctions/Bus Bay/Truck Laybay</t>
  </si>
  <si>
    <t>Bituminous Concrete (Providing and laying bituminous concrete with 100-120 TPH batch type hot mix plant producing an average output of 75 tonnes per hour using crushed aggregates of specified grading, premixed with bituminous binder @ 5.4 to 5.6 %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509 complete in all respects)</t>
  </si>
  <si>
    <t>Supplying, laying and jointing RCC NP4 class pipes across the road as per Technical Specifications Section 2900 and as directed by the Engineer.</t>
  </si>
  <si>
    <t>i) 1200 mm dia (For crossing of drains at Junction locations)</t>
  </si>
  <si>
    <t xml:space="preserve">ii)High Mast </t>
  </si>
  <si>
    <t>iii)LED Brinkers</t>
  </si>
  <si>
    <t>Bill No. 11</t>
  </si>
  <si>
    <t>Toll Plaza</t>
  </si>
  <si>
    <t>Toll Plaza Structure</t>
  </si>
  <si>
    <t>Design supply, fabrication and erection of Toll Plaza Canopy (generally a Space frame structure) including foundation as per technical specifications and drawing, which shall cover all toll lanes and booths. It shall be clad with 0.5mm pre coated GI colur sheet etc. complete as per Concession Agreement</t>
  </si>
  <si>
    <t>Toll Plaza Safety Block</t>
  </si>
  <si>
    <t>cum</t>
  </si>
  <si>
    <t>Toll Plaza Tunnel Works includes construction and ventilation of Tunnel as per drawing and specifications</t>
  </si>
  <si>
    <t>Rm</t>
  </si>
  <si>
    <t>Toll Plaza Civil Works including but not limited to crash barriers, constructionof island, earth filling in island, paving within the toll plaza area, plantations, pipe laying for cables,foundation for toll booths, high mast, signage boards in approaches of toll plaza etc.</t>
  </si>
  <si>
    <t>Lanes</t>
  </si>
  <si>
    <t>Toll Plaza Signage Board as per Toll Notification and IRC:SP:73-2007 including supply, fabrication, erection and foundation work complete per Toll Plaza</t>
  </si>
  <si>
    <t>No</t>
  </si>
  <si>
    <t>Toll Booth</t>
  </si>
  <si>
    <r>
      <rPr>
        <b/>
        <sz val="11"/>
        <rFont val="Times New Roman"/>
        <family val="1"/>
      </rPr>
      <t>a) Single Booth</t>
    </r>
    <r>
      <rPr>
        <sz val="11"/>
        <rFont val="Times New Roman"/>
        <family val="1"/>
      </rPr>
      <t xml:space="preserve">
Procurement, Fabricating, Fixing and Positioning of  Single Toll Booth on the RCC Crash Barrier &amp; Brick work at the Toll Plaza Location including mobilization, Transportation, labour  as per the dimensions in the approved drawing and with mentioned Technical Specification for Flooring, Framing, doors, Windows, Glazing, Roofing, Computer Table, Chair etc.</t>
    </r>
  </si>
  <si>
    <t>b) Reversible Booth
Procurement, Fabricating, Fixing and Positioning of Reversible Toll Booth on the RCC Crash Barrier &amp; Brick work at the Toll Plaza Location including mobilization, Transportation, labour  as per the dimensions in the approved drawing and with mentioned Technical Specification for Flooring, Framing, doors, Windows, Glazing, Roofing, Computer Table, Chair etc.</t>
  </si>
  <si>
    <t>Toll Booth Protection Barrier</t>
  </si>
  <si>
    <t xml:space="preserve">a. Single Booth
</t>
  </si>
  <si>
    <t>b. Reversible Booth</t>
  </si>
  <si>
    <t>Toll Collection System</t>
  </si>
  <si>
    <t>a. Semi automatic Toll Collection System with AVC,Boom Barrier,OHLS,Userfee Board,Lane Cameras,CCTV System, Control Station Server , Lane Computers etc</t>
  </si>
  <si>
    <t>Toll Systems</t>
  </si>
  <si>
    <t>b. ETC Lanes with AVC,Boom Barrier,OHLS,Userfee Board,Lane Cameras,CCTV System, Lane Computers etc</t>
  </si>
  <si>
    <t>Lane</t>
  </si>
  <si>
    <t>c.Mixed mode Lanes to be operated for ETC &amp; Semi automatic toll collection systems with all required items</t>
  </si>
  <si>
    <t xml:space="preserve">d. Central Control Room
Including central servers, POS, Reporting, Admin Computers, Video Data storage, CCTV System, Internal and Central Networking(Passive and Active), Firewalls, Booth Communication System, Spares for all equipments etc. </t>
  </si>
  <si>
    <t xml:space="preserve"> </t>
  </si>
  <si>
    <t>e. Weigh in Motion</t>
  </si>
  <si>
    <t>f. Static Weigh Bridge</t>
  </si>
  <si>
    <t>g. Plaza Surveillance System ( Includes Video Data Storage, Video Monitoring Equipments, Tunnel and Plaza Surveillance Cameras</t>
  </si>
  <si>
    <t>Per Toll Plaza No.</t>
  </si>
  <si>
    <t xml:space="preserve">h.Lane Surveillance </t>
  </si>
  <si>
    <t>i. Spares ( for items a,b,c,d,e,f,g)</t>
  </si>
  <si>
    <t>DG Sets</t>
  </si>
  <si>
    <r>
      <rPr>
        <b/>
        <sz val="11"/>
        <rFont val="Times New Roman"/>
        <family val="1"/>
      </rPr>
      <t>Electrification of Toll Plaza</t>
    </r>
    <r>
      <rPr>
        <sz val="11"/>
        <rFont val="Times New Roman"/>
        <family val="1"/>
      </rPr>
      <t xml:space="preserve">
4 High Masts , Street Lighting, Canopy Lighting, Booth Lighting, Admin Building Lighting, Tunnel Lighting, Sub-Station including Electrification of all appliances etc at each Plaza</t>
    </r>
  </si>
  <si>
    <t xml:space="preserve">Administration Building
Construction of RCC structure as per specification and drawing. Building shall be designed to meet functional requirements and shall be compatible with regional architecture and micro climate. This shall include all civil works including fixed furniture and fixtures as per requirement.   </t>
  </si>
  <si>
    <t xml:space="preserve">Maintenance/Garage Building
Construction of RCC structure as per specification and drawing. Building shall be designed to meet functional requirements and shall be compatible with regional architecture and micro climate. This shall include all civil works including fixed furniture and fixtures as per requirement.   </t>
  </si>
  <si>
    <t>Generater Room
Construction of RCC structure as per specification and drawing. Building shall be designed to meet functional requirements and shall be compatible with regional architecture and micro climate. This shall include all civil works including fixed furniture and fixtures as per requirement.</t>
  </si>
  <si>
    <t>Laboratory
Construction of RCC structure as per specification and drawing. Building shall be designed to meet functional requirements and shall be compatible with regional architecture and micro climate. This shall include all civil works including fixed furniture and fixtures as per requirement.</t>
  </si>
  <si>
    <t>Parking Yard / Shade
Parking should be provided for minimum 4 no. of large vehicles and for other expected vehicles during peak hours including those for working staff and visitors. This shall include all civil works including fixed furniture and fixtures as per requirement.</t>
  </si>
  <si>
    <t>Vehicles</t>
  </si>
  <si>
    <t>I) Ambulance</t>
  </si>
  <si>
    <t>ii) Crane</t>
  </si>
  <si>
    <t>iii) Patrolling Vehicles</t>
  </si>
  <si>
    <t>Traffic aid posts
Construction of building not more than 25 sqm plinth area for each Traffic Aid Post of design as per police outpost buildings by the State Government. This shall include all civil works including fixed furniture and fixtures as per requirement.</t>
  </si>
  <si>
    <t>Medical aid posts
Construction of an Aid Post Building and two residential quarters in accordance with designs prescribed by State Medical Department. This shall include all civil works including fixed furniture and fixtures as per requirement.</t>
  </si>
  <si>
    <t>Vehicle rescue posts</t>
  </si>
  <si>
    <t xml:space="preserve">Rest Areas </t>
  </si>
  <si>
    <t>LS</t>
  </si>
  <si>
    <t>Facilities at Truck Layby</t>
  </si>
  <si>
    <t>Telecom System</t>
  </si>
  <si>
    <t>Emergency Call Boxes</t>
  </si>
  <si>
    <t>Compound Wall</t>
  </si>
  <si>
    <t>Rmt.</t>
  </si>
  <si>
    <t>PIU Building</t>
  </si>
  <si>
    <t>Bill No. 12</t>
  </si>
  <si>
    <t>HIGHWAY LIGHTING</t>
  </si>
  <si>
    <t>Internal Lighting @ PUP</t>
  </si>
  <si>
    <t>Internal Lighting @ VUP and Flyover</t>
  </si>
  <si>
    <r>
      <rPr>
        <b/>
        <sz val="11"/>
        <rFont val="Times New Roman"/>
        <family val="1"/>
      </rPr>
      <t>Street Lighting</t>
    </r>
    <r>
      <rPr>
        <sz val="11"/>
        <rFont val="Times New Roman"/>
        <family val="1"/>
      </rPr>
      <t xml:space="preserve"> (Providing and erecting street light mounted on a steel circular hollow pole of standard specifications for street lighting, 9 m high spaced </t>
    </r>
    <r>
      <rPr>
        <b/>
        <sz val="11"/>
        <rFont val="Times New Roman"/>
        <family val="1"/>
      </rPr>
      <t>40 m</t>
    </r>
    <r>
      <rPr>
        <sz val="11"/>
        <rFont val="Times New Roman"/>
        <family val="1"/>
      </rPr>
      <t xml:space="preserve"> apart, 1.8 m overhang on both sides if fixed in the median and on one side if fixed on the footpath, fitted with sodium vapour lamp and fixed firmly in concrete foundation.)</t>
    </r>
  </si>
  <si>
    <t xml:space="preserve">i)Double Arm </t>
  </si>
  <si>
    <t xml:space="preserve">ii) Single Arm </t>
  </si>
  <si>
    <r>
      <rPr>
        <b/>
        <sz val="11"/>
        <rFont val="Times New Roman"/>
        <family val="1"/>
      </rPr>
      <t xml:space="preserve">High Mast Pole Lighting </t>
    </r>
    <r>
      <rPr>
        <sz val="11"/>
        <rFont val="Times New Roman"/>
        <family val="1"/>
      </rPr>
      <t xml:space="preserve"> 
Providing and erecting a high mast pole lighting with 30 m high hot dip galvanised mast designed to withstand forces exerted with wind speeds of 180 km per hour with 3 seconds gust,  as per IS:875 (Part 3) - 1978,  fitted with a base flange,  door at the base of mast with heavy duty internal lock,  lantern carriage,  suitable winching arrangement for safe working load of 750 kg and high powered electrically driven power tools for raising and lowering of lantern carriage,  flexible 8 core electric cable,  lightening conductor,  earthing terminal,  and fixing 2 nos aviation obstruction lights on top of the mast,  all complete as per approved design and drawings This is a specialised work and is generally done by firms who specialise in such jobs</t>
    </r>
  </si>
  <si>
    <t>Solar Blinkers @ Minor Junctions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</si>
</sst>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 #,##0.00_ ;_ * \-#,##0.00_ ;_ * &quot;-&quot;??_ ;_ @_ "/>
    <numFmt numFmtId="166" formatCode="_(* #,##0.0_);_(* \(#,##0.0\);_(* &quot;-&quot;??_);_(@_)"/>
    <numFmt numFmtId="167" formatCode="0.0"/>
  </numFmts>
  <fonts count="13" x14ac:knownFonts="1">
    <font>
      <sz val="10"/>
      <name val="Arial"/>
      <family val="2"/>
    </font>
    <font>
      <sz val="10"/>
      <name val="Arial"/>
      <family val="2"/>
    </font>
    <font>
      <b/>
      <sz val="11"/>
      <name val="Times New Roman"/>
      <family val="1"/>
    </font>
    <font>
      <sz val="11"/>
      <name val="Times New Roman"/>
      <family val="1"/>
    </font>
    <font>
      <sz val="12"/>
      <color theme="1"/>
      <name val="Calibri"/>
      <family val="2"/>
      <scheme val="minor"/>
    </font>
    <font>
      <sz val="10"/>
      <name val="Comic Sans MS"/>
      <family val="4"/>
    </font>
    <font>
      <sz val="10"/>
      <color theme="1"/>
      <name val="Tahoma"/>
      <family val="2"/>
    </font>
    <font>
      <sz val="11"/>
      <color theme="1"/>
      <name val="Calibri"/>
      <family val="2"/>
      <scheme val="minor"/>
    </font>
    <font>
      <sz val="12"/>
      <name val="Times New Roman"/>
      <family val="1"/>
    </font>
    <font>
      <sz val="10"/>
      <name val="Times New Roman"/>
      <family val="1"/>
    </font>
    <font>
      <sz val="11"/>
      <color rgb="FFFF0000"/>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43" fontId="4" fillId="0" borderId="0" applyFont="0" applyFill="0" applyBorder="0" applyAlignment="0" applyProtection="0"/>
    <xf numFmtId="0" fontId="1" fillId="0" borderId="0"/>
    <xf numFmtId="0" fontId="5" fillId="0" borderId="0"/>
    <xf numFmtId="164" fontId="5" fillId="0" borderId="0" applyFont="0" applyFill="0" applyBorder="0" applyAlignment="0" applyProtection="0"/>
    <xf numFmtId="165" fontId="5" fillId="0" borderId="0" applyFont="0" applyFill="0" applyBorder="0" applyAlignment="0" applyProtection="0"/>
    <xf numFmtId="0" fontId="1" fillId="0" borderId="0"/>
    <xf numFmtId="0" fontId="7" fillId="0" borderId="0"/>
    <xf numFmtId="0" fontId="1" fillId="0" borderId="0"/>
    <xf numFmtId="0" fontId="1" fillId="0" borderId="0"/>
    <xf numFmtId="43" fontId="5" fillId="0" borderId="0" applyFont="0" applyFill="0" applyBorder="0" applyAlignment="0" applyProtection="0"/>
  </cellStyleXfs>
  <cellXfs count="90">
    <xf numFmtId="0" fontId="0" fillId="0" borderId="0" xfId="0"/>
    <xf numFmtId="0" fontId="2" fillId="0" borderId="1" xfId="2" applyFont="1" applyBorder="1" applyAlignment="1">
      <alignment horizontal="center" vertical="center"/>
    </xf>
    <xf numFmtId="164" fontId="3" fillId="0" borderId="0" xfId="2" applyNumberFormat="1" applyFont="1" applyAlignment="1">
      <alignment horizontal="right" vertical="center"/>
    </xf>
    <xf numFmtId="43" fontId="3" fillId="0" borderId="0" xfId="1" applyFont="1" applyAlignment="1">
      <alignment vertical="center"/>
    </xf>
    <xf numFmtId="0" fontId="3" fillId="0" borderId="0" xfId="2" applyFont="1" applyAlignment="1">
      <alignment vertical="center"/>
    </xf>
    <xf numFmtId="2" fontId="2" fillId="0" borderId="1" xfId="2" applyNumberFormat="1" applyFont="1" applyBorder="1" applyAlignment="1">
      <alignment horizontal="right" vertical="center" wrapText="1"/>
    </xf>
    <xf numFmtId="0" fontId="2" fillId="0" borderId="1" xfId="3" applyFont="1" applyBorder="1" applyAlignment="1">
      <alignment horizontal="center" vertical="center" wrapText="1"/>
    </xf>
    <xf numFmtId="0" fontId="2" fillId="0" borderId="1" xfId="2" applyFont="1" applyBorder="1" applyAlignment="1">
      <alignment vertical="center" wrapText="1"/>
    </xf>
    <xf numFmtId="0" fontId="2" fillId="0" borderId="1" xfId="2" applyFont="1" applyBorder="1" applyAlignment="1">
      <alignment horizontal="center" vertical="center" wrapText="1"/>
    </xf>
    <xf numFmtId="1" fontId="2" fillId="0" borderId="1" xfId="4" applyNumberFormat="1" applyFont="1" applyBorder="1" applyAlignment="1">
      <alignment horizontal="center" vertical="center" wrapText="1"/>
    </xf>
    <xf numFmtId="164" fontId="2" fillId="0" borderId="1" xfId="4" applyFont="1" applyBorder="1" applyAlignment="1">
      <alignment horizontal="center" vertical="center" wrapText="1"/>
    </xf>
    <xf numFmtId="43" fontId="2" fillId="0" borderId="1" xfId="1" applyFont="1" applyBorder="1" applyAlignment="1">
      <alignment horizontal="center" vertical="center" wrapText="1"/>
    </xf>
    <xf numFmtId="0" fontId="2" fillId="0" borderId="1" xfId="2" applyFont="1" applyBorder="1" applyAlignment="1">
      <alignment horizontal="right" vertical="center"/>
    </xf>
    <xf numFmtId="0" fontId="3" fillId="0" borderId="1" xfId="2" applyFont="1" applyBorder="1" applyAlignment="1">
      <alignment horizontal="center" vertical="center" wrapText="1"/>
    </xf>
    <xf numFmtId="1" fontId="3" fillId="0" borderId="1" xfId="2" applyNumberFormat="1" applyFont="1" applyBorder="1" applyAlignment="1">
      <alignment horizontal="right" vertical="center" wrapText="1"/>
    </xf>
    <xf numFmtId="164" fontId="3" fillId="0" borderId="1" xfId="2" applyNumberFormat="1" applyFont="1" applyBorder="1" applyAlignment="1">
      <alignment horizontal="right" vertical="center"/>
    </xf>
    <xf numFmtId="43" fontId="3" fillId="0" borderId="1" xfId="1" applyFont="1" applyBorder="1" applyAlignment="1">
      <alignment vertical="center"/>
    </xf>
    <xf numFmtId="2" fontId="3" fillId="0" borderId="1" xfId="2" applyNumberFormat="1" applyFont="1" applyBorder="1" applyAlignment="1">
      <alignment horizontal="right" vertical="center" wrapText="1"/>
    </xf>
    <xf numFmtId="0" fontId="3" fillId="0" borderId="1" xfId="2" applyFont="1" applyBorder="1" applyAlignment="1">
      <alignment horizontal="justify" vertical="center" wrapText="1"/>
    </xf>
    <xf numFmtId="0" fontId="2" fillId="0" borderId="1" xfId="2" applyFont="1" applyBorder="1" applyAlignment="1">
      <alignment horizontal="justify" vertical="center" wrapText="1"/>
    </xf>
    <xf numFmtId="1" fontId="3" fillId="0" borderId="1" xfId="4" applyNumberFormat="1" applyFont="1" applyBorder="1" applyAlignment="1">
      <alignment horizontal="right" vertical="center"/>
    </xf>
    <xf numFmtId="43" fontId="2" fillId="0" borderId="1" xfId="1" applyFont="1" applyBorder="1" applyAlignment="1">
      <alignment vertical="center"/>
    </xf>
    <xf numFmtId="1" fontId="3" fillId="0" borderId="1" xfId="5" applyNumberFormat="1" applyFont="1" applyBorder="1" applyAlignment="1">
      <alignment horizontal="right" vertical="center"/>
    </xf>
    <xf numFmtId="2" fontId="3" fillId="0" borderId="1" xfId="2" applyNumberFormat="1" applyFont="1" applyBorder="1" applyAlignment="1">
      <alignment horizontal="left" vertical="center" wrapText="1"/>
    </xf>
    <xf numFmtId="0" fontId="3" fillId="0" borderId="1" xfId="2" applyFont="1" applyBorder="1" applyAlignment="1">
      <alignment horizontal="right" vertical="center"/>
    </xf>
    <xf numFmtId="43" fontId="3" fillId="0" borderId="1" xfId="2" applyNumberFormat="1" applyFont="1" applyBorder="1" applyAlignment="1">
      <alignment horizontal="right" vertical="center"/>
    </xf>
    <xf numFmtId="0" fontId="3" fillId="0" borderId="1" xfId="2" applyFont="1" applyBorder="1" applyAlignment="1">
      <alignment horizontal="justify" vertical="justify" wrapText="1"/>
    </xf>
    <xf numFmtId="43" fontId="3" fillId="0" borderId="1" xfId="5" applyNumberFormat="1" applyFont="1" applyBorder="1" applyAlignment="1">
      <alignment horizontal="right" vertical="center"/>
    </xf>
    <xf numFmtId="0" fontId="3" fillId="0" borderId="1" xfId="0" applyFont="1" applyBorder="1" applyAlignment="1">
      <alignment horizontal="justify" vertical="center" wrapText="1"/>
    </xf>
    <xf numFmtId="43" fontId="3" fillId="0" borderId="1" xfId="5" applyNumberFormat="1" applyFont="1" applyBorder="1" applyAlignment="1">
      <alignment horizontal="center" vertical="center"/>
    </xf>
    <xf numFmtId="2" fontId="3" fillId="0" borderId="1" xfId="0" applyNumberFormat="1" applyFont="1" applyBorder="1" applyAlignment="1">
      <alignment horizontal="right" vertical="center"/>
    </xf>
    <xf numFmtId="2" fontId="6" fillId="0" borderId="1" xfId="0" applyNumberFormat="1" applyFont="1" applyBorder="1" applyAlignment="1">
      <alignment horizontal="right" vertical="center"/>
    </xf>
    <xf numFmtId="0" fontId="3" fillId="0" borderId="0" xfId="0" applyFont="1" applyAlignment="1">
      <alignment horizontal="justify" vertical="center" wrapText="1"/>
    </xf>
    <xf numFmtId="43" fontId="3" fillId="0" borderId="1" xfId="5" applyNumberFormat="1" applyFont="1" applyBorder="1" applyAlignment="1">
      <alignment horizontal="right" vertical="center"/>
    </xf>
    <xf numFmtId="43" fontId="3" fillId="0" borderId="1" xfId="5" applyNumberFormat="1"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right" vertical="center"/>
    </xf>
    <xf numFmtId="1" fontId="6" fillId="0" borderId="1" xfId="0" applyNumberFormat="1" applyFont="1" applyBorder="1" applyAlignment="1">
      <alignment horizontal="right" vertical="center"/>
    </xf>
    <xf numFmtId="0" fontId="3" fillId="0" borderId="1" xfId="0" applyFont="1" applyBorder="1" applyAlignment="1">
      <alignment horizontal="right" vertical="center" wrapText="1"/>
    </xf>
    <xf numFmtId="0" fontId="3" fillId="0" borderId="0" xfId="6" applyFont="1" applyAlignment="1">
      <alignment horizontal="justify" vertical="center" wrapText="1"/>
    </xf>
    <xf numFmtId="0" fontId="3" fillId="0" borderId="1" xfId="6" applyFont="1" applyBorder="1" applyAlignment="1">
      <alignment horizontal="justify" vertical="center" wrapText="1"/>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3" fillId="0" borderId="1" xfId="0"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1" xfId="0" applyFont="1" applyBorder="1" applyAlignment="1">
      <alignment horizontal="center" vertical="center"/>
    </xf>
    <xf numFmtId="43" fontId="3" fillId="0" borderId="1" xfId="0" applyNumberFormat="1" applyFont="1" applyBorder="1" applyAlignment="1">
      <alignment horizontal="right" vertical="center"/>
    </xf>
    <xf numFmtId="43" fontId="3" fillId="0" borderId="1" xfId="0" applyNumberFormat="1" applyFont="1" applyBorder="1" applyAlignment="1">
      <alignment vertical="center"/>
    </xf>
    <xf numFmtId="43" fontId="3" fillId="0" borderId="1" xfId="0" applyNumberFormat="1" applyFont="1" applyBorder="1" applyAlignment="1">
      <alignment horizontal="center" vertical="center"/>
    </xf>
    <xf numFmtId="0" fontId="3" fillId="0" borderId="1" xfId="0" applyFont="1" applyBorder="1" applyAlignment="1">
      <alignment horizontal="right" vertical="center"/>
    </xf>
    <xf numFmtId="2" fontId="3" fillId="0" borderId="1" xfId="2" applyNumberFormat="1" applyFont="1" applyBorder="1" applyAlignment="1">
      <alignment horizontal="center" vertical="center" wrapText="1"/>
    </xf>
    <xf numFmtId="1" fontId="3" fillId="0" borderId="1" xfId="5" applyNumberFormat="1" applyFont="1" applyBorder="1" applyAlignment="1">
      <alignment horizontal="right" vertical="center" wrapText="1"/>
    </xf>
    <xf numFmtId="0" fontId="3" fillId="0" borderId="1" xfId="2" applyFont="1" applyBorder="1" applyAlignment="1">
      <alignment horizontal="left" vertical="center" wrapText="1" indent="1"/>
    </xf>
    <xf numFmtId="0" fontId="3" fillId="0" borderId="1" xfId="7" applyFont="1" applyBorder="1" applyAlignment="1">
      <alignment horizontal="justify" vertical="top" wrapText="1"/>
    </xf>
    <xf numFmtId="2" fontId="2" fillId="0" borderId="1" xfId="3" applyNumberFormat="1" applyFont="1" applyBorder="1" applyAlignment="1">
      <alignment horizontal="right" vertical="center" wrapText="1"/>
    </xf>
    <xf numFmtId="2" fontId="2" fillId="0" borderId="1" xfId="2" applyNumberFormat="1" applyFont="1" applyBorder="1" applyAlignment="1">
      <alignment horizontal="center" vertical="center" wrapText="1"/>
    </xf>
    <xf numFmtId="1" fontId="3" fillId="0" borderId="1" xfId="4" applyNumberFormat="1" applyFont="1" applyBorder="1" applyAlignment="1">
      <alignment horizontal="right" vertical="center" wrapText="1"/>
    </xf>
    <xf numFmtId="2" fontId="3" fillId="0" borderId="1" xfId="3" applyNumberFormat="1" applyFont="1" applyBorder="1" applyAlignment="1">
      <alignment horizontal="right" vertical="center" wrapText="1"/>
    </xf>
    <xf numFmtId="0" fontId="3" fillId="0" borderId="1" xfId="2" applyFont="1" applyBorder="1" applyAlignment="1">
      <alignment vertical="center"/>
    </xf>
    <xf numFmtId="0" fontId="3" fillId="0" borderId="1" xfId="8" applyFont="1" applyBorder="1" applyAlignment="1">
      <alignment horizontal="justify" vertical="center" wrapText="1"/>
    </xf>
    <xf numFmtId="164" fontId="3" fillId="2" borderId="1" xfId="2" applyNumberFormat="1" applyFont="1" applyFill="1" applyBorder="1" applyAlignment="1">
      <alignment horizontal="right" vertical="center"/>
    </xf>
    <xf numFmtId="0" fontId="8" fillId="0" borderId="1" xfId="9" applyFont="1" applyBorder="1" applyAlignment="1">
      <alignment horizontal="justify" vertical="center"/>
    </xf>
    <xf numFmtId="0" fontId="9" fillId="0" borderId="1" xfId="2" applyFont="1" applyBorder="1" applyAlignment="1">
      <alignment horizontal="right" vertical="center"/>
    </xf>
    <xf numFmtId="166" fontId="8" fillId="0" borderId="1" xfId="4" applyNumberFormat="1" applyFont="1" applyBorder="1" applyAlignment="1">
      <alignment horizontal="right" vertical="center"/>
    </xf>
    <xf numFmtId="0" fontId="8" fillId="0" borderId="1" xfId="2" applyFont="1" applyBorder="1" applyAlignment="1">
      <alignment horizontal="justify" vertical="center" wrapText="1"/>
    </xf>
    <xf numFmtId="167" fontId="9" fillId="0" borderId="1" xfId="2" applyNumberFormat="1" applyFont="1" applyBorder="1" applyAlignment="1">
      <alignment horizontal="right" vertical="center"/>
    </xf>
    <xf numFmtId="2" fontId="9" fillId="0" borderId="1" xfId="2" applyNumberFormat="1" applyFont="1" applyBorder="1" applyAlignment="1">
      <alignment horizontal="right" vertical="center"/>
    </xf>
    <xf numFmtId="0" fontId="3" fillId="0" borderId="1" xfId="2" applyFont="1" applyBorder="1" applyAlignment="1">
      <alignment horizontal="right" vertical="center" wrapText="1"/>
    </xf>
    <xf numFmtId="2" fontId="9" fillId="2" borderId="1" xfId="2" applyNumberFormat="1" applyFont="1" applyFill="1" applyBorder="1" applyAlignment="1">
      <alignment horizontal="right" vertical="center"/>
    </xf>
    <xf numFmtId="167" fontId="9" fillId="2" borderId="1" xfId="2" applyNumberFormat="1" applyFont="1" applyFill="1" applyBorder="1" applyAlignment="1">
      <alignment horizontal="right" vertical="center"/>
    </xf>
    <xf numFmtId="166" fontId="8" fillId="2" borderId="1" xfId="4" applyNumberFormat="1" applyFont="1" applyFill="1" applyBorder="1" applyAlignment="1">
      <alignment horizontal="right" vertical="center"/>
    </xf>
    <xf numFmtId="1" fontId="9" fillId="2" borderId="1" xfId="2" applyNumberFormat="1" applyFont="1" applyFill="1" applyBorder="1" applyAlignment="1">
      <alignment horizontal="right" vertical="center"/>
    </xf>
    <xf numFmtId="0" fontId="2" fillId="0" borderId="1" xfId="2" applyFont="1" applyBorder="1" applyAlignment="1">
      <alignment horizontal="center" vertical="center"/>
    </xf>
    <xf numFmtId="0" fontId="3" fillId="0" borderId="1" xfId="2" applyFont="1" applyBorder="1" applyAlignment="1">
      <alignment horizontal="center" vertical="center"/>
    </xf>
    <xf numFmtId="0" fontId="3" fillId="0" borderId="1" xfId="2" applyFont="1" applyBorder="1" applyAlignment="1">
      <alignment vertical="center" wrapText="1"/>
    </xf>
    <xf numFmtId="0" fontId="2" fillId="0" borderId="1" xfId="2" applyFont="1" applyBorder="1" applyAlignment="1">
      <alignment vertical="center"/>
    </xf>
    <xf numFmtId="2" fontId="3" fillId="0" borderId="1" xfId="2" applyNumberFormat="1" applyFont="1" applyBorder="1" applyAlignment="1">
      <alignment horizontal="right" vertical="center"/>
    </xf>
    <xf numFmtId="2" fontId="3" fillId="0" borderId="0" xfId="2" applyNumberFormat="1" applyFont="1" applyAlignment="1">
      <alignment vertical="center"/>
    </xf>
    <xf numFmtId="0" fontId="2" fillId="0" borderId="1" xfId="2" applyFont="1" applyBorder="1" applyAlignment="1">
      <alignment horizontal="left" vertical="center" wrapText="1"/>
    </xf>
    <xf numFmtId="164" fontId="3" fillId="0" borderId="1" xfId="4" applyFont="1" applyBorder="1" applyAlignment="1">
      <alignment horizontal="right" vertical="center" wrapText="1"/>
    </xf>
    <xf numFmtId="43" fontId="3" fillId="0" borderId="1" xfId="1" applyFont="1" applyBorder="1" applyAlignment="1">
      <alignment horizontal="center" vertical="center" wrapText="1"/>
    </xf>
    <xf numFmtId="164" fontId="3" fillId="0" borderId="1" xfId="10" applyNumberFormat="1" applyFont="1" applyBorder="1" applyAlignment="1">
      <alignment horizontal="right" vertical="top"/>
    </xf>
    <xf numFmtId="164" fontId="3" fillId="2" borderId="1" xfId="10" applyNumberFormat="1" applyFont="1" applyFill="1" applyBorder="1" applyAlignment="1">
      <alignment horizontal="right" vertical="top"/>
    </xf>
    <xf numFmtId="0" fontId="10" fillId="0" borderId="1" xfId="2" applyFont="1" applyBorder="1" applyAlignment="1">
      <alignment horizontal="center" vertical="center" wrapText="1"/>
    </xf>
    <xf numFmtId="2" fontId="10" fillId="0" borderId="1" xfId="2" applyNumberFormat="1" applyFont="1" applyBorder="1" applyAlignment="1">
      <alignment horizontal="center" vertical="center" wrapText="1"/>
    </xf>
    <xf numFmtId="164" fontId="3" fillId="0" borderId="1" xfId="10" applyNumberFormat="1" applyFont="1" applyBorder="1" applyAlignment="1">
      <alignment horizontal="right" vertical="center"/>
    </xf>
    <xf numFmtId="0" fontId="3" fillId="0" borderId="0" xfId="2" applyFont="1" applyAlignment="1">
      <alignment horizontal="right" vertical="center"/>
    </xf>
    <xf numFmtId="0" fontId="3" fillId="0" borderId="0" xfId="2" applyFont="1" applyAlignment="1">
      <alignment horizontal="center" vertical="center"/>
    </xf>
    <xf numFmtId="0" fontId="3" fillId="0" borderId="0" xfId="2" applyFont="1" applyAlignment="1">
      <alignment vertical="center" wrapText="1"/>
    </xf>
    <xf numFmtId="1" fontId="3" fillId="0" borderId="0" xfId="4" applyNumberFormat="1" applyFont="1" applyAlignment="1">
      <alignment horizontal="right" vertical="center"/>
    </xf>
  </cellXfs>
  <cellStyles count="11">
    <cellStyle name="Comma" xfId="1" builtinId="3"/>
    <cellStyle name="Comma 2" xfId="5" xr:uid="{69862028-AF6D-FE4E-B12F-2F42B852C201}"/>
    <cellStyle name="Comma 2 4" xfId="10" xr:uid="{2E2A0077-0F48-9D4A-A016-286FCCF54A9A}"/>
    <cellStyle name="Comma 2 5" xfId="4" xr:uid="{1068BE7E-55D6-F346-8F7D-132F66C2567A}"/>
    <cellStyle name="Normal" xfId="0" builtinId="0"/>
    <cellStyle name="Normal 14 2" xfId="7" xr:uid="{E0FB5DAB-1A0F-154C-B131-CC7289865E68}"/>
    <cellStyle name="Normal 40 3" xfId="3" xr:uid="{2B63C0E9-75E6-9744-A79D-E92527D12308}"/>
    <cellStyle name="Normal_Abstract of Cost" xfId="2" xr:uid="{90FA2C29-C5C3-884C-A7FF-226AB0E27C48}"/>
    <cellStyle name="Normal_Agra-Bharatpur-BOQ" xfId="9" xr:uid="{23331480-16B0-D847-B0C1-AF5B99C5C1A7}"/>
    <cellStyle name="Normal_Bina TP" xfId="8" xr:uid="{0BFA7556-CF09-4E45-B393-0872BF3E9D18}"/>
    <cellStyle name="Normal_BOQ_Qty_BCEOM___Rate_Site" xfId="6" xr:uid="{5E555795-35DF-CC43-AAB8-3703D22936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tyles" Target="style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sunilkumar/Dropbox/1%20NH-167%20Project/GEP%20Infra%20Design%20Consultants/NH167%20Estiamte%20and%20RA/BOQ-NH_167_-Ministry.xlsx" TargetMode="External"/><Relationship Id="rId1" Type="http://schemas.openxmlformats.org/officeDocument/2006/relationships/externalLinkPath" Target="/Users/sunilkumar/Dropbox/1%20NH-167%20Project/GEP%20Infra%20Design%20Consultants/NH167%20Estiamte%20and%20RA/BOQ-NH_167_-Minist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sunilkumar/Dropbox/1%20NH-167%20Project/GEP%20Infra%20Design%20Consultants/NH167%20Estiamte%20and%20RA/Final_Rate%20Analysis%20(Roads%20&amp;%20Bridges)_2015-2016.xlsx" TargetMode="External"/><Relationship Id="rId1" Type="http://schemas.openxmlformats.org/officeDocument/2006/relationships/externalLinkPath" Target="/Users/sunilkumar/Dropbox/1%20NH-167%20Project/GEP%20Infra%20Design%20Consultants/NH167%20Estiamte%20and%20RA/Final_Rate%20Analysis%20(Roads%20&amp;%20Bridges)_2015-201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0.Ravi/Telangana/Format%20of%20rate%20analysis-2016.xls" TargetMode="External"/><Relationship Id="rId1" Type="http://schemas.openxmlformats.org/officeDocument/2006/relationships/externalLinkPath" Target="/0.Ravi/Telangana/Format%20of%20rate%20analysis-2016.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sunilkumar/Dropbox/1%20NH-167%20Project/GEP%20Infra%20Design%20Consultants/NH167%20Estiamte%20and%20RA/BOQ%20-%20SUMMARY%20-%20Rev1%20(1)/BOQ%20-%20SUMMARY%20-%20Rev2/BOQs%20&amp;%20Rates%20of%20Culverts.xlsx" TargetMode="External"/><Relationship Id="rId1" Type="http://schemas.openxmlformats.org/officeDocument/2006/relationships/externalLinkPath" Target="/Users/sunilkumar/Dropbox/1%20NH-167%20Project/GEP%20Infra%20Design%20Consultants/NH167%20Estiamte%20and%20RA/BOQ%20-%20SUMMARY%20-%20Rev1%20(1)/BOQ%20-%20SUMMARY%20-%20Rev2/BOQs%20&amp;%20Rates%20of%20Culvert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sunilkumar/Dropbox/1%20NH-167%20Project/GEP%20Infra%20Design%20Consultants/NH167%20Estiamte%20and%20RA/BOQ%20-%20SUMMARY%20-%20Rev1%20(1)/BOQ%20-%20SUMMARY%20-%20Rev2/SUMMARY%20STRUCTURES_TELANGANA.xlsx" TargetMode="External"/><Relationship Id="rId1" Type="http://schemas.openxmlformats.org/officeDocument/2006/relationships/externalLinkPath" Target="/Users/sunilkumar/Dropbox/1%20NH-167%20Project/GEP%20Infra%20Design%20Consultants/NH167%20Estiamte%20and%20RA/BOQ%20-%20SUMMARY%20-%20Rev1%20(1)/BOQ%20-%20SUMMARY%20-%20Rev2/SUMMARY%20STRUCTURES_TELANGANA.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0.Ravi/Telangana/Bridge%20Rate%20Analysis-2016.xlsx" TargetMode="External"/><Relationship Id="rId1" Type="http://schemas.openxmlformats.org/officeDocument/2006/relationships/externalLinkPath" Target="/0.Ravi/Telangana/Bridge%20Rate%20Analysis-2016.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01%20NH-167%20Project/Work%20Plan%20&amp;%20Progress/BOQ%20NH_167%20Jadcherla_Haggari.xlsx" TargetMode="External"/><Relationship Id="rId2" Type="http://schemas.openxmlformats.org/officeDocument/2006/relationships/externalLinkPath" Target="https://highlane-my.sharepoint.com/personal/sk_highlane_in/Documents/01%20NH-167%20Project/Work%20Plan%20&amp;%20Progress/BOQ%20NH_167%20Jadcherla_Haggari.xlsx" TargetMode="External"/><Relationship Id="rId1" Type="http://schemas.openxmlformats.org/officeDocument/2006/relationships/externalLinkPath" Target="/personal/sk_highlane_in/Documents/01%20NH-167%20Project/Work%20Plan%20&amp;%20Progress/BOQ%20NH_167%20Jadcherla_Haggari.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Moss3/d/WINDOWS/DESKTOP/All_NCB_Ph2/All_NCB_Tr.III/Documents/M5/BOQ_M5.xls" TargetMode="External"/><Relationship Id="rId1" Type="http://schemas.openxmlformats.org/officeDocument/2006/relationships/externalLinkPath" Target="/Moss3/d/WINDOWS/DESKTOP/All_NCB_Ph2/All_NCB_Tr.III/Documents/M5/BOQ_M5.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Documents%20and%20Settings/venkateswar.BCEOM-INDIA/My%20Documents/PROJECT%20WORKS/RAJKOT-JAMNAGAR/Sanjoy%20Datta%20Office/Sanjoy%20Datta/Belgaum%20M.%20R.%20P/BMRP%20(Received)/Analysis-Dharwad-Rigid+flexi%20-%20PLL.xls" TargetMode="External"/><Relationship Id="rId2" Type="http://schemas.microsoft.com/office/2019/04/relationships/externalLinkLongPath" Target="/Documents%20and%20Settings/venkateswar.BCEOM-INDIA/My%20Documents/PROJECT%20WORKS/RAJKOT-JAMNAGAR/Sanjoy%20Datta%20Office/Sanjoy%20Datta/Belgaum%20M.%20R.%20P/BMRP%20(Received)/Analysis-Dharwad-Rigid+flexi%20-%20PLL.xls?C8152B6E" TargetMode="External"/><Relationship Id="rId1" Type="http://schemas.openxmlformats.org/officeDocument/2006/relationships/externalLinkPath" Target="file:///C8152B6E/Analysis-Dharwad-Rigid+flexi%20-%20PLL.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Ranjani/Misc/ARRR-ver-1104.xls" TargetMode="External"/><Relationship Id="rId1" Type="http://schemas.openxmlformats.org/officeDocument/2006/relationships/externalLinkPath" Target="/Ranjani/Misc/ARRR-ver-1104.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Moss3/d/WINDOWS/DESKTOP/All_NCB_Ph2/All_NCB_Tr.III/Documents/M7/BOQ_M7.xls" TargetMode="External"/><Relationship Id="rId1" Type="http://schemas.openxmlformats.org/officeDocument/2006/relationships/externalLinkPath" Target="/Moss3/d/WINDOWS/DESKTOP/All_NCB_Ph2/All_NCB_Tr.III/Documents/M7/BOQ_M7.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Moss3/d/WINDOWS/DESKTOP/All_NCB_Ph2/All_NCB_Tr.III/Documents/M5/BOQ_M26.xls" TargetMode="External"/><Relationship Id="rId1" Type="http://schemas.openxmlformats.org/officeDocument/2006/relationships/externalLinkPath" Target="/Moss3/d/WINDOWS/DESKTOP/All_NCB_Ph2/All_NCB_Tr.III/Documents/M5/BOQ_M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1"/>
      <sheetName val="TCS"/>
      <sheetName val="TCS_Sch"/>
      <sheetName val="Summary"/>
      <sheetName val="BOQ"/>
      <sheetName val="DOQ"/>
      <sheetName val="Junction X"/>
      <sheetName val="Minor T"/>
      <sheetName val="Bus Bay"/>
      <sheetName val="Major  T"/>
      <sheetName val="Truck Laybay"/>
      <sheetName val="Bus Bay (4 Lane)"/>
      <sheetName val="Drain"/>
      <sheetName val="Sheet3"/>
      <sheetName val="print earthwork"/>
      <sheetName val="Toll_1"/>
      <sheetName val="Summary Toll"/>
      <sheetName val="RE-Wall"/>
      <sheetName val="Quantity"/>
      <sheetName val="Sheet4"/>
      <sheetName val="Levels"/>
      <sheetName val="ELEVATION DIFFERENCES"/>
      <sheetName val="Sheet1"/>
      <sheetName val="Sheet2"/>
      <sheetName val="Sheet5"/>
    </sheetNames>
    <sheetDataSet>
      <sheetData sheetId="0">
        <row r="11">
          <cell r="AD11">
            <v>0</v>
          </cell>
        </row>
      </sheetData>
      <sheetData sheetId="1"/>
      <sheetData sheetId="2"/>
      <sheetData sheetId="3"/>
      <sheetData sheetId="4"/>
      <sheetData sheetId="5">
        <row r="5">
          <cell r="I5">
            <v>85.783760000000001</v>
          </cell>
        </row>
        <row r="7">
          <cell r="I7">
            <v>0</v>
          </cell>
        </row>
        <row r="8">
          <cell r="I8">
            <v>0</v>
          </cell>
        </row>
        <row r="9">
          <cell r="I9">
            <v>3</v>
          </cell>
        </row>
        <row r="10">
          <cell r="I10">
            <v>0</v>
          </cell>
        </row>
        <row r="13">
          <cell r="I13">
            <v>6048</v>
          </cell>
        </row>
        <row r="14">
          <cell r="I14">
            <v>0</v>
          </cell>
        </row>
        <row r="20">
          <cell r="I20">
            <v>13149.927000000001</v>
          </cell>
        </row>
        <row r="21">
          <cell r="I21">
            <v>4383.3090000000002</v>
          </cell>
        </row>
        <row r="23">
          <cell r="I23">
            <v>300</v>
          </cell>
        </row>
        <row r="27">
          <cell r="I27">
            <v>102055.72299999982</v>
          </cell>
        </row>
        <row r="32">
          <cell r="I32">
            <v>359566.04245000007</v>
          </cell>
        </row>
        <row r="34">
          <cell r="I34">
            <v>86747.364549999853</v>
          </cell>
        </row>
        <row r="63">
          <cell r="I63">
            <v>267421.90292000002</v>
          </cell>
        </row>
        <row r="67">
          <cell r="I67">
            <v>6576.375</v>
          </cell>
        </row>
        <row r="106">
          <cell r="I106">
            <v>103605.30685399999</v>
          </cell>
        </row>
        <row r="134">
          <cell r="I134">
            <v>63650.000163749995</v>
          </cell>
        </row>
        <row r="160">
          <cell r="I160">
            <v>65231.361194999998</v>
          </cell>
        </row>
        <row r="192">
          <cell r="I192">
            <v>494624.12999999995</v>
          </cell>
        </row>
        <row r="227">
          <cell r="I227">
            <v>989248.25999999989</v>
          </cell>
        </row>
        <row r="243">
          <cell r="I243">
            <v>46989.292350000003</v>
          </cell>
        </row>
        <row r="260">
          <cell r="I260">
            <v>0</v>
          </cell>
        </row>
        <row r="262">
          <cell r="B262" t="str">
            <v>Bituminous Concrete (Providing and laying bituminous concrete with 100-120 TPH batch type hot mix plant producing an average output of 75 tonnes per hour using crushed aggregates of specified grading, premixed with bituminous binder @ 5.4 to 5.6 %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509 complete in all respects)</v>
          </cell>
        </row>
        <row r="279">
          <cell r="I279">
            <v>19784.965199999999</v>
          </cell>
        </row>
        <row r="295">
          <cell r="I295">
            <v>0</v>
          </cell>
        </row>
        <row r="301">
          <cell r="I301">
            <v>2625.6601500000006</v>
          </cell>
        </row>
        <row r="305">
          <cell r="I305">
            <v>4752.5502800000013</v>
          </cell>
        </row>
        <row r="307">
          <cell r="I307">
            <v>9154.1003000000001</v>
          </cell>
        </row>
        <row r="308">
          <cell r="I308">
            <v>3922.3970555555557</v>
          </cell>
        </row>
        <row r="309">
          <cell r="I309">
            <v>2159.9658533495258</v>
          </cell>
        </row>
        <row r="310">
          <cell r="I310">
            <v>2603.59</v>
          </cell>
        </row>
        <row r="311">
          <cell r="I311">
            <v>0</v>
          </cell>
        </row>
        <row r="312">
          <cell r="I312">
            <v>0</v>
          </cell>
        </row>
        <row r="313">
          <cell r="I313">
            <v>0</v>
          </cell>
        </row>
        <row r="314">
          <cell r="I314">
            <v>835.25800000000004</v>
          </cell>
        </row>
        <row r="315">
          <cell r="I315">
            <v>0</v>
          </cell>
        </row>
        <row r="316">
          <cell r="I316">
            <v>0</v>
          </cell>
        </row>
        <row r="317">
          <cell r="I317">
            <v>0</v>
          </cell>
        </row>
        <row r="318">
          <cell r="I318">
            <v>2931.4560000000001</v>
          </cell>
        </row>
        <row r="319">
          <cell r="I319">
            <v>618.61646391403031</v>
          </cell>
        </row>
        <row r="321">
          <cell r="I321">
            <v>928.37270669905183</v>
          </cell>
        </row>
        <row r="322">
          <cell r="I322">
            <v>2063.5250000000001</v>
          </cell>
        </row>
        <row r="323">
          <cell r="I323">
            <v>2342</v>
          </cell>
        </row>
        <row r="324">
          <cell r="I324">
            <v>0</v>
          </cell>
        </row>
        <row r="325">
          <cell r="I325">
            <v>116</v>
          </cell>
        </row>
        <row r="326">
          <cell r="I326">
            <v>345.78654999999998</v>
          </cell>
        </row>
        <row r="327">
          <cell r="I327">
            <v>0</v>
          </cell>
        </row>
        <row r="328">
          <cell r="I328">
            <v>0</v>
          </cell>
        </row>
        <row r="329">
          <cell r="I329">
            <v>0</v>
          </cell>
        </row>
        <row r="330">
          <cell r="I330">
            <v>0</v>
          </cell>
        </row>
        <row r="331">
          <cell r="I331">
            <v>0</v>
          </cell>
        </row>
        <row r="332">
          <cell r="I332">
            <v>348.59999999999997</v>
          </cell>
        </row>
        <row r="333">
          <cell r="I333">
            <v>80</v>
          </cell>
        </row>
        <row r="334">
          <cell r="I334">
            <v>0</v>
          </cell>
        </row>
        <row r="335">
          <cell r="I335">
            <v>0</v>
          </cell>
        </row>
        <row r="336">
          <cell r="I336">
            <v>0</v>
          </cell>
        </row>
        <row r="337">
          <cell r="I337">
            <v>0</v>
          </cell>
        </row>
        <row r="338">
          <cell r="I338">
            <v>0</v>
          </cell>
        </row>
        <row r="339">
          <cell r="I339">
            <v>0</v>
          </cell>
        </row>
        <row r="340">
          <cell r="I340">
            <v>0</v>
          </cell>
        </row>
        <row r="341">
          <cell r="I341">
            <v>0</v>
          </cell>
        </row>
        <row r="342">
          <cell r="I342">
            <v>2487.3130000000001</v>
          </cell>
        </row>
        <row r="343">
          <cell r="I343">
            <v>1715.674</v>
          </cell>
        </row>
        <row r="344">
          <cell r="I344">
            <v>0</v>
          </cell>
        </row>
        <row r="345">
          <cell r="I345">
            <v>5916.375</v>
          </cell>
        </row>
        <row r="346">
          <cell r="I346">
            <v>0</v>
          </cell>
        </row>
        <row r="347">
          <cell r="I347">
            <v>0</v>
          </cell>
        </row>
        <row r="348">
          <cell r="I348">
            <v>0</v>
          </cell>
        </row>
        <row r="356">
          <cell r="I356">
            <v>24978.359999999997</v>
          </cell>
        </row>
        <row r="358">
          <cell r="I358">
            <v>9</v>
          </cell>
        </row>
        <row r="359">
          <cell r="I359">
            <v>36</v>
          </cell>
        </row>
        <row r="360">
          <cell r="I360">
            <v>182</v>
          </cell>
        </row>
        <row r="361">
          <cell r="I361">
            <v>230</v>
          </cell>
        </row>
        <row r="363">
          <cell r="I363">
            <v>21</v>
          </cell>
        </row>
        <row r="364">
          <cell r="I364">
            <v>45</v>
          </cell>
        </row>
        <row r="365">
          <cell r="I365">
            <v>38</v>
          </cell>
        </row>
        <row r="366">
          <cell r="I366">
            <v>59</v>
          </cell>
        </row>
        <row r="367">
          <cell r="I367">
            <v>45</v>
          </cell>
        </row>
        <row r="368">
          <cell r="I368">
            <v>4826</v>
          </cell>
        </row>
        <row r="370">
          <cell r="I370">
            <v>11400</v>
          </cell>
        </row>
        <row r="374">
          <cell r="I374">
            <v>42095</v>
          </cell>
        </row>
        <row r="392">
          <cell r="I392">
            <v>19421.670719312489</v>
          </cell>
        </row>
        <row r="393">
          <cell r="I393">
            <v>3412.6712947843384</v>
          </cell>
        </row>
        <row r="394">
          <cell r="I394">
            <v>343</v>
          </cell>
        </row>
        <row r="395">
          <cell r="I395">
            <v>9710.8353596562447</v>
          </cell>
        </row>
        <row r="396">
          <cell r="I396">
            <v>238912.93835008197</v>
          </cell>
        </row>
        <row r="397">
          <cell r="B397" t="str">
            <v xml:space="preserve">Providing and erecting a single side single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 </v>
          </cell>
          <cell r="I397">
            <v>6795.3299999999872</v>
          </cell>
        </row>
        <row r="399">
          <cell r="I399">
            <v>6600.3299999999872</v>
          </cell>
        </row>
        <row r="401">
          <cell r="B401" t="str">
            <v>Providing and constructing RCC crash barrier M-40 grade including centering, shuttering and reinforcement  (Concrete 0.3 Cum/Rmt and steel 28 Kg/Rmt); including heavy class pipe on top of crash barrier fixed with Mild Steel plate at 1000 mm c/c. including base plate fixed with U bolts, nuts &amp; washers; including painting etc. all complete as per approved Drawings and Technical Specifications.</v>
          </cell>
          <cell r="I401">
            <v>0</v>
          </cell>
        </row>
        <row r="402">
          <cell r="I402">
            <v>0</v>
          </cell>
        </row>
        <row r="403">
          <cell r="I403">
            <v>0</v>
          </cell>
        </row>
        <row r="407">
          <cell r="I407">
            <v>17904.21587119349</v>
          </cell>
        </row>
        <row r="408">
          <cell r="I408">
            <v>0</v>
          </cell>
        </row>
        <row r="409">
          <cell r="I409">
            <v>0</v>
          </cell>
        </row>
        <row r="410">
          <cell r="I410">
            <v>0</v>
          </cell>
        </row>
        <row r="411">
          <cell r="I411">
            <v>925.21240301872376</v>
          </cell>
        </row>
        <row r="412">
          <cell r="I412">
            <v>260</v>
          </cell>
        </row>
        <row r="413">
          <cell r="I413">
            <v>0</v>
          </cell>
        </row>
        <row r="414">
          <cell r="I414">
            <v>0</v>
          </cell>
        </row>
        <row r="415">
          <cell r="I415">
            <v>589.40337119052936</v>
          </cell>
        </row>
        <row r="416">
          <cell r="I416">
            <v>0</v>
          </cell>
        </row>
        <row r="417">
          <cell r="I417">
            <v>0</v>
          </cell>
        </row>
        <row r="418">
          <cell r="I418">
            <v>0</v>
          </cell>
        </row>
        <row r="419">
          <cell r="I419">
            <v>60</v>
          </cell>
        </row>
        <row r="420">
          <cell r="I420">
            <v>0</v>
          </cell>
        </row>
        <row r="421">
          <cell r="I421">
            <v>4000.1216346109113</v>
          </cell>
        </row>
        <row r="422">
          <cell r="I422">
            <v>0</v>
          </cell>
        </row>
        <row r="423">
          <cell r="I423">
            <v>0</v>
          </cell>
        </row>
        <row r="424">
          <cell r="I424">
            <v>0</v>
          </cell>
        </row>
        <row r="425">
          <cell r="I425">
            <v>0</v>
          </cell>
        </row>
        <row r="426">
          <cell r="I426">
            <v>0</v>
          </cell>
        </row>
        <row r="427">
          <cell r="I427">
            <v>0</v>
          </cell>
        </row>
        <row r="428">
          <cell r="I428">
            <v>102.67</v>
          </cell>
        </row>
        <row r="430">
          <cell r="I430">
            <v>6698.417003333323</v>
          </cell>
        </row>
        <row r="435">
          <cell r="I435">
            <v>4734.7415000000001</v>
          </cell>
        </row>
        <row r="444">
          <cell r="I444">
            <v>0</v>
          </cell>
        </row>
        <row r="445">
          <cell r="I445">
            <v>0</v>
          </cell>
        </row>
        <row r="446">
          <cell r="I446">
            <v>0</v>
          </cell>
        </row>
        <row r="447">
          <cell r="I447">
            <v>0</v>
          </cell>
        </row>
        <row r="448">
          <cell r="I448">
            <v>0</v>
          </cell>
        </row>
        <row r="449">
          <cell r="I449">
            <v>0</v>
          </cell>
        </row>
        <row r="450">
          <cell r="I450">
            <v>0</v>
          </cell>
        </row>
        <row r="451">
          <cell r="I451">
            <v>0</v>
          </cell>
        </row>
        <row r="452">
          <cell r="I452">
            <v>0</v>
          </cell>
        </row>
        <row r="453">
          <cell r="I453">
            <v>0</v>
          </cell>
        </row>
        <row r="454">
          <cell r="I454">
            <v>5633</v>
          </cell>
        </row>
        <row r="459">
          <cell r="I459">
            <v>25.959088000000005</v>
          </cell>
        </row>
        <row r="460">
          <cell r="I460">
            <v>0</v>
          </cell>
        </row>
        <row r="461">
          <cell r="I461">
            <v>0</v>
          </cell>
        </row>
        <row r="462">
          <cell r="I462">
            <v>2502</v>
          </cell>
        </row>
        <row r="463">
          <cell r="I463">
            <v>0</v>
          </cell>
        </row>
        <row r="464">
          <cell r="I464">
            <v>3912.2921952210881</v>
          </cell>
        </row>
        <row r="465">
          <cell r="I465">
            <v>0</v>
          </cell>
        </row>
        <row r="467">
          <cell r="I467">
            <v>3380.1267000000007</v>
          </cell>
        </row>
        <row r="468">
          <cell r="I468">
            <v>0</v>
          </cell>
        </row>
        <row r="469">
          <cell r="I469">
            <v>162</v>
          </cell>
        </row>
        <row r="472">
          <cell r="I472">
            <v>205.44000000000005</v>
          </cell>
        </row>
        <row r="473">
          <cell r="I473">
            <v>0</v>
          </cell>
        </row>
        <row r="474">
          <cell r="I474">
            <v>0</v>
          </cell>
        </row>
        <row r="475">
          <cell r="I475">
            <v>20300</v>
          </cell>
        </row>
        <row r="476">
          <cell r="I476">
            <v>700</v>
          </cell>
        </row>
        <row r="477">
          <cell r="I477">
            <v>519</v>
          </cell>
        </row>
        <row r="478">
          <cell r="I478">
            <v>1034</v>
          </cell>
        </row>
        <row r="479">
          <cell r="I479">
            <v>1034</v>
          </cell>
        </row>
        <row r="482">
          <cell r="I482">
            <v>421.03153987157043</v>
          </cell>
        </row>
        <row r="483">
          <cell r="I483">
            <v>0</v>
          </cell>
        </row>
        <row r="484">
          <cell r="I484">
            <v>842.06307974314086</v>
          </cell>
        </row>
        <row r="485">
          <cell r="I485">
            <v>0</v>
          </cell>
        </row>
        <row r="486">
          <cell r="I486">
            <v>0</v>
          </cell>
        </row>
        <row r="487">
          <cell r="I487">
            <v>0</v>
          </cell>
        </row>
        <row r="488">
          <cell r="I488">
            <v>0</v>
          </cell>
        </row>
        <row r="489">
          <cell r="I489">
            <v>0</v>
          </cell>
        </row>
        <row r="490">
          <cell r="I490">
            <v>160</v>
          </cell>
        </row>
        <row r="491">
          <cell r="I491">
            <v>0</v>
          </cell>
        </row>
        <row r="492">
          <cell r="I492">
            <v>0</v>
          </cell>
        </row>
        <row r="493">
          <cell r="I493">
            <v>364</v>
          </cell>
        </row>
        <row r="494">
          <cell r="I494">
            <v>0</v>
          </cell>
        </row>
        <row r="495">
          <cell r="I495">
            <v>0</v>
          </cell>
        </row>
        <row r="496">
          <cell r="I496">
            <v>0</v>
          </cell>
        </row>
        <row r="497">
          <cell r="I497">
            <v>0</v>
          </cell>
        </row>
        <row r="498">
          <cell r="I498">
            <v>0</v>
          </cell>
        </row>
        <row r="499">
          <cell r="I499">
            <v>0</v>
          </cell>
        </row>
        <row r="500">
          <cell r="I500">
            <v>0</v>
          </cell>
        </row>
        <row r="501">
          <cell r="I501">
            <v>0</v>
          </cell>
        </row>
        <row r="502">
          <cell r="I502">
            <v>0</v>
          </cell>
        </row>
        <row r="503">
          <cell r="I503">
            <v>0</v>
          </cell>
        </row>
        <row r="504">
          <cell r="I504">
            <v>0</v>
          </cell>
        </row>
        <row r="505">
          <cell r="I505">
            <v>0</v>
          </cell>
        </row>
        <row r="506">
          <cell r="I506">
            <v>0</v>
          </cell>
        </row>
        <row r="507">
          <cell r="I507">
            <v>0</v>
          </cell>
        </row>
        <row r="508">
          <cell r="I508">
            <v>0</v>
          </cell>
        </row>
        <row r="509">
          <cell r="I509">
            <v>0</v>
          </cell>
        </row>
        <row r="510">
          <cell r="I510">
            <v>0</v>
          </cell>
        </row>
        <row r="511">
          <cell r="I511">
            <v>0</v>
          </cell>
        </row>
        <row r="512">
          <cell r="I512">
            <v>32</v>
          </cell>
        </row>
        <row r="516">
          <cell r="I516">
            <v>0</v>
          </cell>
        </row>
        <row r="520">
          <cell r="I520">
            <v>0</v>
          </cell>
        </row>
        <row r="521">
          <cell r="I521">
            <v>4275</v>
          </cell>
        </row>
        <row r="522">
          <cell r="I522">
            <v>17100</v>
          </cell>
        </row>
        <row r="523">
          <cell r="I523">
            <v>11400</v>
          </cell>
        </row>
      </sheetData>
      <sheetData sheetId="6">
        <row r="2">
          <cell r="C2">
            <v>2</v>
          </cell>
        </row>
        <row r="19">
          <cell r="H19">
            <v>940</v>
          </cell>
        </row>
        <row r="21">
          <cell r="H21">
            <v>488.8</v>
          </cell>
        </row>
        <row r="23">
          <cell r="H23">
            <v>300</v>
          </cell>
        </row>
        <row r="25">
          <cell r="H25">
            <v>1200</v>
          </cell>
        </row>
        <row r="27">
          <cell r="H27">
            <v>2400</v>
          </cell>
        </row>
        <row r="29">
          <cell r="H29">
            <v>48</v>
          </cell>
        </row>
        <row r="31">
          <cell r="H31">
            <v>60</v>
          </cell>
        </row>
        <row r="35">
          <cell r="H35">
            <v>0</v>
          </cell>
        </row>
        <row r="37">
          <cell r="H37">
            <v>0.12</v>
          </cell>
        </row>
        <row r="39">
          <cell r="H39">
            <v>231.20000000000002</v>
          </cell>
        </row>
        <row r="41">
          <cell r="H41">
            <v>0</v>
          </cell>
        </row>
        <row r="52">
          <cell r="H52">
            <v>23.333333333333336</v>
          </cell>
        </row>
        <row r="53">
          <cell r="H53">
            <v>4.4000000000000004</v>
          </cell>
        </row>
        <row r="54">
          <cell r="H54">
            <v>5.9200000000000008</v>
          </cell>
        </row>
        <row r="55">
          <cell r="H55">
            <v>4.72</v>
          </cell>
        </row>
        <row r="56">
          <cell r="H56">
            <v>12</v>
          </cell>
        </row>
        <row r="57">
          <cell r="H57">
            <v>21.599999999999998</v>
          </cell>
        </row>
        <row r="59">
          <cell r="H59">
            <v>30</v>
          </cell>
        </row>
      </sheetData>
      <sheetData sheetId="7">
        <row r="2">
          <cell r="C2">
            <v>15</v>
          </cell>
        </row>
        <row r="19">
          <cell r="H19">
            <v>5775</v>
          </cell>
        </row>
        <row r="21">
          <cell r="H21">
            <v>3003.0000000000005</v>
          </cell>
        </row>
        <row r="23">
          <cell r="H23">
            <v>2250</v>
          </cell>
        </row>
        <row r="25">
          <cell r="H25">
            <v>9000</v>
          </cell>
        </row>
        <row r="27">
          <cell r="H27">
            <v>18000</v>
          </cell>
        </row>
        <row r="29">
          <cell r="H29">
            <v>360</v>
          </cell>
        </row>
        <row r="31">
          <cell r="H31">
            <v>450</v>
          </cell>
        </row>
        <row r="35">
          <cell r="H35">
            <v>0</v>
          </cell>
        </row>
        <row r="37">
          <cell r="H37">
            <v>1.155</v>
          </cell>
        </row>
        <row r="39">
          <cell r="H39">
            <v>867.00000000000011</v>
          </cell>
        </row>
        <row r="41">
          <cell r="H41">
            <v>0</v>
          </cell>
        </row>
        <row r="52">
          <cell r="H52">
            <v>87.500000000000014</v>
          </cell>
        </row>
        <row r="53">
          <cell r="H53">
            <v>16.5</v>
          </cell>
        </row>
        <row r="54">
          <cell r="H54">
            <v>22.200000000000003</v>
          </cell>
        </row>
        <row r="55">
          <cell r="H55">
            <v>17.7</v>
          </cell>
        </row>
        <row r="56">
          <cell r="H56">
            <v>45</v>
          </cell>
        </row>
        <row r="57">
          <cell r="H57">
            <v>80.999999999999986</v>
          </cell>
        </row>
        <row r="59">
          <cell r="H59">
            <v>225</v>
          </cell>
        </row>
      </sheetData>
      <sheetData sheetId="8">
        <row r="9">
          <cell r="J9">
            <v>0</v>
          </cell>
        </row>
        <row r="12">
          <cell r="J12">
            <v>0</v>
          </cell>
        </row>
        <row r="15">
          <cell r="J15">
            <v>0</v>
          </cell>
        </row>
        <row r="18">
          <cell r="J18">
            <v>0</v>
          </cell>
        </row>
        <row r="21">
          <cell r="J21">
            <v>0</v>
          </cell>
        </row>
        <row r="24">
          <cell r="J24">
            <v>0</v>
          </cell>
        </row>
        <row r="27">
          <cell r="J27">
            <v>0</v>
          </cell>
        </row>
        <row r="30">
          <cell r="J30">
            <v>0</v>
          </cell>
        </row>
        <row r="38">
          <cell r="J38">
            <v>0</v>
          </cell>
        </row>
        <row r="46">
          <cell r="J46">
            <v>0</v>
          </cell>
        </row>
        <row r="50">
          <cell r="J50">
            <v>0</v>
          </cell>
        </row>
      </sheetData>
      <sheetData sheetId="9">
        <row r="2">
          <cell r="C2">
            <v>2</v>
          </cell>
        </row>
        <row r="19">
          <cell r="H19">
            <v>1861.85</v>
          </cell>
        </row>
        <row r="21">
          <cell r="H21">
            <v>968.16200000000003</v>
          </cell>
        </row>
        <row r="23">
          <cell r="H23">
            <v>422.92500000000001</v>
          </cell>
        </row>
        <row r="25">
          <cell r="H25">
            <v>1691.7</v>
          </cell>
        </row>
        <row r="27">
          <cell r="H27">
            <v>3383.4</v>
          </cell>
        </row>
        <row r="29">
          <cell r="H29">
            <v>67.668000000000006</v>
          </cell>
        </row>
        <row r="31">
          <cell r="H31">
            <v>160.7115</v>
          </cell>
        </row>
        <row r="35">
          <cell r="H35">
            <v>432.06299999999999</v>
          </cell>
        </row>
        <row r="37">
          <cell r="H37">
            <v>0.37236999999999998</v>
          </cell>
        </row>
        <row r="39">
          <cell r="H39">
            <v>782.32</v>
          </cell>
        </row>
        <row r="41">
          <cell r="H41">
            <v>356</v>
          </cell>
        </row>
        <row r="52">
          <cell r="H52">
            <v>11.666666666666668</v>
          </cell>
        </row>
        <row r="53">
          <cell r="H53">
            <v>2.2000000000000002</v>
          </cell>
        </row>
        <row r="54">
          <cell r="H54">
            <v>2.9600000000000004</v>
          </cell>
        </row>
        <row r="55">
          <cell r="H55">
            <v>2.36</v>
          </cell>
        </row>
        <row r="56">
          <cell r="H56">
            <v>6</v>
          </cell>
        </row>
        <row r="57">
          <cell r="H57">
            <v>10.799999999999999</v>
          </cell>
        </row>
        <row r="59">
          <cell r="H59">
            <v>40</v>
          </cell>
        </row>
      </sheetData>
      <sheetData sheetId="10">
        <row r="16">
          <cell r="J16">
            <v>0.32300000000000001</v>
          </cell>
        </row>
        <row r="21">
          <cell r="J21">
            <v>1190</v>
          </cell>
        </row>
        <row r="26">
          <cell r="J26">
            <v>357</v>
          </cell>
        </row>
        <row r="31">
          <cell r="J31">
            <v>595</v>
          </cell>
        </row>
        <row r="35">
          <cell r="J35">
            <v>119</v>
          </cell>
        </row>
        <row r="37">
          <cell r="D37">
            <v>1190</v>
          </cell>
        </row>
        <row r="39">
          <cell r="I39">
            <v>2</v>
          </cell>
        </row>
        <row r="40">
          <cell r="J40">
            <v>71.399999999999991</v>
          </cell>
        </row>
        <row r="48">
          <cell r="J48">
            <v>960</v>
          </cell>
        </row>
        <row r="52">
          <cell r="J52">
            <v>561</v>
          </cell>
        </row>
      </sheetData>
      <sheetData sheetId="11">
        <row r="9">
          <cell r="J9">
            <v>1.62</v>
          </cell>
        </row>
        <row r="12">
          <cell r="J12">
            <v>8100</v>
          </cell>
        </row>
        <row r="15">
          <cell r="J15">
            <v>4212</v>
          </cell>
        </row>
        <row r="18">
          <cell r="J18">
            <v>2250</v>
          </cell>
        </row>
        <row r="21">
          <cell r="J21">
            <v>540</v>
          </cell>
        </row>
        <row r="24">
          <cell r="J24">
            <v>360</v>
          </cell>
        </row>
        <row r="27">
          <cell r="J27">
            <v>9000</v>
          </cell>
        </row>
        <row r="30">
          <cell r="J30">
            <v>18000</v>
          </cell>
        </row>
        <row r="38">
          <cell r="J38">
            <v>3240</v>
          </cell>
        </row>
        <row r="46">
          <cell r="J46">
            <v>450.72</v>
          </cell>
        </row>
        <row r="50">
          <cell r="J50">
            <v>16200</v>
          </cell>
        </row>
      </sheetData>
      <sheetData sheetId="12">
        <row r="5">
          <cell r="C5">
            <v>2318</v>
          </cell>
        </row>
        <row r="6">
          <cell r="C6">
            <v>2589.375</v>
          </cell>
        </row>
        <row r="7">
          <cell r="C7">
            <v>2388</v>
          </cell>
        </row>
        <row r="8">
          <cell r="C8">
            <v>2047.5</v>
          </cell>
        </row>
        <row r="9">
          <cell r="C9">
            <v>386</v>
          </cell>
        </row>
      </sheetData>
      <sheetData sheetId="13"/>
      <sheetData sheetId="14"/>
      <sheetData sheetId="15"/>
      <sheetData sheetId="16">
        <row r="11">
          <cell r="F11">
            <v>1020.0000000000001</v>
          </cell>
        </row>
        <row r="13">
          <cell r="F13">
            <v>210</v>
          </cell>
        </row>
        <row r="15">
          <cell r="F15">
            <v>4</v>
          </cell>
        </row>
        <row r="16">
          <cell r="F16">
            <v>2</v>
          </cell>
        </row>
        <row r="17">
          <cell r="F17">
            <v>2</v>
          </cell>
        </row>
        <row r="18">
          <cell r="F18">
            <v>2</v>
          </cell>
        </row>
        <row r="19">
          <cell r="F19">
            <v>2</v>
          </cell>
        </row>
        <row r="20">
          <cell r="F20">
            <v>2</v>
          </cell>
        </row>
        <row r="21">
          <cell r="F21">
            <v>2</v>
          </cell>
        </row>
        <row r="22">
          <cell r="F22">
            <v>1109.2718407455304</v>
          </cell>
        </row>
        <row r="25">
          <cell r="F25">
            <v>45.000000000000007</v>
          </cell>
        </row>
      </sheetData>
      <sheetData sheetId="17"/>
      <sheetData sheetId="18">
        <row r="5571">
          <cell r="AY5571">
            <v>3807</v>
          </cell>
        </row>
      </sheetData>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ull Summary"/>
      <sheetName val="GEN"/>
      <sheetName val="1"/>
      <sheetName val="2"/>
      <sheetName val="3"/>
      <sheetName val="4"/>
      <sheetName val="5"/>
      <sheetName val="6"/>
      <sheetName val="7"/>
      <sheetName val="8"/>
      <sheetName val="9"/>
      <sheetName val="10"/>
      <sheetName val="11"/>
      <sheetName val="12"/>
      <sheetName val="13"/>
      <sheetName val="14"/>
      <sheetName val="15"/>
      <sheetName val="16"/>
      <sheetName val="Lead location"/>
      <sheetName val="Lead Charges"/>
      <sheetName val="Rate of Material"/>
      <sheetName val="Average Materials"/>
      <sheetName val="Input-Materials"/>
      <sheetName val="Input-Machinary"/>
      <sheetName val="Input-Labour"/>
      <sheetName val="Standard Data"/>
      <sheetName val="Summary-Std Data"/>
    </sheetNames>
    <sheetDataSet>
      <sheetData sheetId="0">
        <row r="19">
          <cell r="D19">
            <v>328</v>
          </cell>
        </row>
        <row r="20">
          <cell r="D20">
            <v>571</v>
          </cell>
        </row>
        <row r="21">
          <cell r="D21">
            <v>1132</v>
          </cell>
        </row>
        <row r="22">
          <cell r="D22">
            <v>2164</v>
          </cell>
        </row>
        <row r="29">
          <cell r="D29">
            <v>33362</v>
          </cell>
        </row>
        <row r="35">
          <cell r="D35">
            <v>574</v>
          </cell>
        </row>
        <row r="36">
          <cell r="D36">
            <v>1522</v>
          </cell>
        </row>
        <row r="47">
          <cell r="D47">
            <v>388</v>
          </cell>
        </row>
        <row r="50">
          <cell r="D50">
            <v>257</v>
          </cell>
        </row>
        <row r="66">
          <cell r="D66">
            <v>327</v>
          </cell>
        </row>
        <row r="71">
          <cell r="D71">
            <v>631</v>
          </cell>
        </row>
        <row r="73">
          <cell r="D73">
            <v>340</v>
          </cell>
        </row>
        <row r="74">
          <cell r="D74">
            <v>2415</v>
          </cell>
        </row>
        <row r="105">
          <cell r="D105">
            <v>81</v>
          </cell>
        </row>
        <row r="118">
          <cell r="D118">
            <v>330</v>
          </cell>
        </row>
        <row r="119">
          <cell r="D119">
            <v>148</v>
          </cell>
        </row>
        <row r="120">
          <cell r="D120">
            <v>382</v>
          </cell>
        </row>
        <row r="149">
          <cell r="D149">
            <v>2165</v>
          </cell>
        </row>
        <row r="195">
          <cell r="D195">
            <v>2261</v>
          </cell>
        </row>
        <row r="210">
          <cell r="D210">
            <v>30</v>
          </cell>
        </row>
        <row r="212">
          <cell r="D212">
            <v>11</v>
          </cell>
        </row>
        <row r="221">
          <cell r="D221">
            <v>7528</v>
          </cell>
        </row>
        <row r="227">
          <cell r="D227">
            <v>8447</v>
          </cell>
        </row>
        <row r="240">
          <cell r="D240">
            <v>529</v>
          </cell>
        </row>
        <row r="266">
          <cell r="D266">
            <v>3224</v>
          </cell>
        </row>
        <row r="267">
          <cell r="D267">
            <v>6145</v>
          </cell>
        </row>
        <row r="292">
          <cell r="D292">
            <v>405</v>
          </cell>
        </row>
        <row r="301">
          <cell r="D301">
            <v>2216</v>
          </cell>
        </row>
        <row r="302">
          <cell r="D302">
            <v>2361</v>
          </cell>
        </row>
        <row r="304">
          <cell r="D304">
            <v>2346</v>
          </cell>
        </row>
        <row r="306">
          <cell r="D306">
            <v>2803</v>
          </cell>
        </row>
        <row r="308">
          <cell r="D308">
            <v>6307</v>
          </cell>
        </row>
        <row r="310">
          <cell r="D310">
            <v>106401</v>
          </cell>
        </row>
        <row r="321">
          <cell r="D321">
            <v>633</v>
          </cell>
        </row>
        <row r="323">
          <cell r="D323">
            <v>4335</v>
          </cell>
        </row>
        <row r="324">
          <cell r="D324">
            <v>2644</v>
          </cell>
        </row>
        <row r="325">
          <cell r="D325">
            <v>691</v>
          </cell>
        </row>
        <row r="326">
          <cell r="D326">
            <v>694</v>
          </cell>
        </row>
        <row r="327">
          <cell r="D327">
            <v>1252</v>
          </cell>
        </row>
        <row r="334">
          <cell r="D334">
            <v>4984</v>
          </cell>
        </row>
        <row r="336">
          <cell r="D336">
            <v>2918</v>
          </cell>
        </row>
        <row r="362">
          <cell r="D362">
            <v>289</v>
          </cell>
        </row>
        <row r="384">
          <cell r="D384">
            <v>10174</v>
          </cell>
        </row>
        <row r="385">
          <cell r="D385">
            <v>13513</v>
          </cell>
        </row>
        <row r="428">
          <cell r="D428">
            <v>26</v>
          </cell>
        </row>
        <row r="434">
          <cell r="D434">
            <v>1171</v>
          </cell>
        </row>
        <row r="452">
          <cell r="D452">
            <v>163</v>
          </cell>
        </row>
        <row r="484">
          <cell r="D484">
            <v>6797</v>
          </cell>
        </row>
        <row r="485">
          <cell r="D485">
            <v>7202</v>
          </cell>
        </row>
        <row r="494">
          <cell r="D494">
            <v>10570</v>
          </cell>
        </row>
        <row r="503">
          <cell r="D503">
            <v>10625</v>
          </cell>
        </row>
        <row r="901">
          <cell r="D901">
            <v>10790</v>
          </cell>
        </row>
        <row r="911">
          <cell r="D911">
            <v>11347</v>
          </cell>
        </row>
        <row r="931">
          <cell r="D931">
            <v>11495</v>
          </cell>
        </row>
        <row r="940">
          <cell r="D940">
            <v>347</v>
          </cell>
        </row>
        <row r="942">
          <cell r="D942">
            <v>4658</v>
          </cell>
        </row>
        <row r="944">
          <cell r="D944">
            <v>4692</v>
          </cell>
        </row>
        <row r="948">
          <cell r="D948">
            <v>1</v>
          </cell>
        </row>
        <row r="950">
          <cell r="D950">
            <v>53</v>
          </cell>
        </row>
        <row r="985">
          <cell r="D985">
            <v>12205</v>
          </cell>
        </row>
        <row r="1014">
          <cell r="D1014">
            <v>8981</v>
          </cell>
        </row>
        <row r="1084">
          <cell r="D1084">
            <v>58779</v>
          </cell>
        </row>
        <row r="1085">
          <cell r="D1085">
            <v>81660</v>
          </cell>
        </row>
        <row r="1088">
          <cell r="D1088">
            <v>2074</v>
          </cell>
        </row>
        <row r="1089">
          <cell r="D1089">
            <v>2037</v>
          </cell>
        </row>
        <row r="1090">
          <cell r="D1090">
            <v>2818</v>
          </cell>
        </row>
        <row r="1091">
          <cell r="D1091">
            <v>2782</v>
          </cell>
        </row>
        <row r="1092">
          <cell r="D1092">
            <v>6536</v>
          </cell>
        </row>
        <row r="1093">
          <cell r="D1093">
            <v>13356</v>
          </cell>
        </row>
        <row r="1102">
          <cell r="D1102">
            <v>167</v>
          </cell>
        </row>
        <row r="1108">
          <cell r="D1108">
            <v>2846</v>
          </cell>
        </row>
        <row r="1118">
          <cell r="D1118">
            <v>1837</v>
          </cell>
        </row>
        <row r="1130">
          <cell r="D1130">
            <v>1922</v>
          </cell>
        </row>
        <row r="1136">
          <cell r="D1136">
            <v>102</v>
          </cell>
        </row>
      </sheetData>
      <sheetData sheetId="1"/>
      <sheetData sheetId="2"/>
      <sheetData sheetId="3"/>
      <sheetData sheetId="4">
        <row r="782">
          <cell r="H782">
            <v>174</v>
          </cell>
        </row>
      </sheetData>
      <sheetData sheetId="5"/>
      <sheetData sheetId="6"/>
      <sheetData sheetId="7"/>
      <sheetData sheetId="8"/>
      <sheetData sheetId="9"/>
      <sheetData sheetId="10">
        <row r="40">
          <cell r="G40">
            <v>2970.7</v>
          </cell>
        </row>
      </sheetData>
      <sheetData sheetId="11"/>
      <sheetData sheetId="12"/>
      <sheetData sheetId="13"/>
      <sheetData sheetId="14">
        <row r="686">
          <cell r="H686">
            <v>1340</v>
          </cell>
        </row>
      </sheetData>
      <sheetData sheetId="15"/>
      <sheetData sheetId="16"/>
      <sheetData sheetId="17"/>
      <sheetData sheetId="18"/>
      <sheetData sheetId="19">
        <row r="20">
          <cell r="H20">
            <v>280.3</v>
          </cell>
        </row>
      </sheetData>
      <sheetData sheetId="20">
        <row r="26">
          <cell r="D26">
            <v>342</v>
          </cell>
          <cell r="I26">
            <v>40</v>
          </cell>
        </row>
      </sheetData>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sheetData sheetId="1">
        <row r="34">
          <cell r="K34">
            <v>9117.9092492</v>
          </cell>
        </row>
        <row r="39">
          <cell r="K39">
            <v>10354.318581759999</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_box"/>
      <sheetName val="Pipes_New"/>
      <sheetName val="Bill-5"/>
      <sheetName val="Pipes_N"/>
      <sheetName val="BOX"/>
      <sheetName val="Abstract_pipe"/>
      <sheetName val="Pipes_Widening "/>
      <sheetName val="Pipe_Raw"/>
      <sheetName val="Pipe_Old_S"/>
      <sheetName val="Cul Inventory NH-6 "/>
      <sheetName val="Wing wall_Box"/>
      <sheetName val="Sheet1"/>
      <sheetName val="Sheet3"/>
      <sheetName val="BoQ"/>
      <sheetName val="Sheet4"/>
    </sheetNames>
    <sheetDataSet>
      <sheetData sheetId="0" refreshError="1"/>
      <sheetData sheetId="1" refreshError="1"/>
      <sheetData sheetId="2">
        <row r="3">
          <cell r="D3">
            <v>9154.1003000000001</v>
          </cell>
        </row>
      </sheetData>
      <sheetData sheetId="3" refreshError="1"/>
      <sheetData sheetId="4">
        <row r="20">
          <cell r="BC20">
            <v>58.468077499999993</v>
          </cell>
          <cell r="BD20">
            <v>192.56538000000003</v>
          </cell>
          <cell r="BE20">
            <v>39.024912499999999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Q_Abstract"/>
      <sheetName val="Levels"/>
      <sheetName val="MNB_Box Abstract "/>
      <sheetName val="MNB_TGirder_BOQ"/>
      <sheetName val="MNB_Slab_BOQ"/>
      <sheetName val="WideningSummary_BOQ"/>
      <sheetName val="ROB"/>
      <sheetName val="RHS"/>
      <sheetName val="LHS"/>
      <sheetName val="Sheet1"/>
    </sheetNames>
    <sheetDataSet>
      <sheetData sheetId="0">
        <row r="2">
          <cell r="D2">
            <v>17904.21587119349</v>
          </cell>
        </row>
        <row r="58">
          <cell r="D58">
            <v>406.01216346109118</v>
          </cell>
        </row>
        <row r="64">
          <cell r="D64">
            <v>798.72040000000004</v>
          </cell>
        </row>
        <row r="72">
          <cell r="D72">
            <v>544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 list"/>
      <sheetName val="AOR-15-16"/>
    </sheetNames>
    <sheetDataSet>
      <sheetData sheetId="0"/>
      <sheetData sheetId="1">
        <row r="23">
          <cell r="AC23">
            <v>809.32653400000004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BOQ"/>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05"/>
    </sheetNames>
    <sheetDataSet>
      <sheetData sheetId="0" refreshError="1">
        <row r="14">
          <cell r="C14">
            <v>140</v>
          </cell>
        </row>
        <row r="15">
          <cell r="C15">
            <v>110</v>
          </cell>
        </row>
      </sheetData>
      <sheetData sheetId="1" refreshError="1">
        <row r="30">
          <cell r="G30">
            <v>710</v>
          </cell>
        </row>
        <row r="31">
          <cell r="G31">
            <v>24</v>
          </cell>
        </row>
        <row r="40">
          <cell r="G40">
            <v>10</v>
          </cell>
        </row>
        <row r="48">
          <cell r="G48">
            <v>3500</v>
          </cell>
        </row>
        <row r="49">
          <cell r="G49">
            <v>790</v>
          </cell>
        </row>
        <row r="50">
          <cell r="G50">
            <v>609</v>
          </cell>
        </row>
        <row r="51">
          <cell r="G51">
            <v>18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XXXXX"/>
      <sheetName val="XXXX0"/>
      <sheetName val="Site Report"/>
      <sheetName val="BASIC"/>
      <sheetName val="DESIGN MIX"/>
      <sheetName val="MISC"/>
      <sheetName val="ANALYSIS"/>
      <sheetName val="BOQ"/>
      <sheetName val="P&amp;E"/>
      <sheetName val="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25">
          <cell r="G25" t="str">
            <v>Input Rate</v>
          </cell>
        </row>
        <row r="34">
          <cell r="G34" t="str">
            <v>Input Rate</v>
          </cell>
        </row>
        <row r="49">
          <cell r="G49" t="str">
            <v>Input Rate</v>
          </cell>
        </row>
        <row r="53">
          <cell r="G53" t="str">
            <v>Input Rate</v>
          </cell>
        </row>
      </sheetData>
      <sheetData sheetId="3">
        <row r="16">
          <cell r="D16" t="str">
            <v>Input Rate</v>
          </cell>
        </row>
        <row r="17">
          <cell r="D17" t="str">
            <v>Input Rate</v>
          </cell>
        </row>
        <row r="19">
          <cell r="D19" t="str">
            <v>Input Rate</v>
          </cell>
        </row>
      </sheetData>
      <sheetData sheetId="4">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amp; Plant"/>
      <sheetName val="Material "/>
      <sheetName val=" Analysis"/>
      <sheetName val="BOQ "/>
      <sheetName val="Sheet1"/>
      <sheetName val="DWR"/>
      <sheetName val="Priced_DWR "/>
      <sheetName val="DWR(Priced)"/>
      <sheetName val=" AnalysisPCC"/>
      <sheetName val=" AnalysisNH"/>
      <sheetName val="Estimates"/>
      <sheetName val="Data"/>
      <sheetName val="BOQ_M7"/>
    </sheetNames>
    <sheetDataSet>
      <sheetData sheetId="0" refreshError="1"/>
      <sheetData sheetId="1" refreshError="1">
        <row r="11">
          <cell r="S11">
            <v>53.900000000000006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amp; Plant"/>
      <sheetName val="Material "/>
      <sheetName val=" Analysis"/>
      <sheetName val="BOQ "/>
      <sheetName val="Sheet1"/>
      <sheetName val="DWR"/>
      <sheetName val="Priced_DWR "/>
      <sheetName val="DWR(Priced)"/>
      <sheetName val=" AnalysisPCC"/>
      <sheetName val=" AnalysisNH"/>
      <sheetName val="Estimates"/>
      <sheetName val="Labour _ Plant"/>
      <sheetName val="REL"/>
      <sheetName val="costing"/>
      <sheetName val="Sheet4"/>
      <sheetName val="CrRajWMM"/>
      <sheetName val="estimate"/>
    </sheetNames>
    <sheetDataSet>
      <sheetData sheetId="0" refreshError="1">
        <row r="32">
          <cell r="C32">
            <v>120</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CD1A-85BC-294F-969F-BD2C097EDA8F}">
  <sheetPr>
    <tabColor rgb="FF00B050"/>
  </sheetPr>
  <dimension ref="A1:K355"/>
  <sheetViews>
    <sheetView tabSelected="1" view="pageBreakPreview" topLeftCell="A276" zoomScale="120" zoomScaleNormal="90" zoomScaleSheetLayoutView="120" workbookViewId="0">
      <selection activeCell="C4" sqref="C4"/>
    </sheetView>
  </sheetViews>
  <sheetFormatPr baseColWidth="10" defaultColWidth="9.1640625" defaultRowHeight="14" x14ac:dyDescent="0.15"/>
  <cols>
    <col min="1" max="1" width="14.5" style="86" customWidth="1"/>
    <col min="2" max="2" width="12" style="87" hidden="1" customWidth="1"/>
    <col min="3" max="3" width="77.5" style="88" customWidth="1"/>
    <col min="4" max="4" width="10.6640625" style="87" customWidth="1"/>
    <col min="5" max="5" width="12" style="89" customWidth="1"/>
    <col min="6" max="6" width="13.83203125" style="2" customWidth="1"/>
    <col min="7" max="7" width="15.5" style="3" bestFit="1" customWidth="1"/>
    <col min="8" max="8" width="9.1640625" style="4"/>
    <col min="9" max="9" width="12.1640625" style="4" customWidth="1"/>
    <col min="10" max="10" width="16.83203125" style="4" customWidth="1"/>
    <col min="11" max="16384" width="9.1640625" style="4"/>
  </cols>
  <sheetData>
    <row r="1" spans="1:7" ht="29.25" customHeight="1" x14ac:dyDescent="0.15">
      <c r="A1" s="1" t="s">
        <v>0</v>
      </c>
      <c r="B1" s="1"/>
      <c r="C1" s="1"/>
      <c r="D1" s="1"/>
      <c r="E1" s="1"/>
    </row>
    <row r="2" spans="1:7" ht="30" x14ac:dyDescent="0.15">
      <c r="A2" s="5" t="s">
        <v>1</v>
      </c>
      <c r="B2" s="6" t="s">
        <v>2</v>
      </c>
      <c r="C2" s="7" t="s">
        <v>3</v>
      </c>
      <c r="D2" s="8" t="s">
        <v>4</v>
      </c>
      <c r="E2" s="9" t="s">
        <v>5</v>
      </c>
      <c r="F2" s="10" t="s">
        <v>6</v>
      </c>
      <c r="G2" s="11" t="s">
        <v>7</v>
      </c>
    </row>
    <row r="3" spans="1:7" ht="15" x14ac:dyDescent="0.15">
      <c r="A3" s="12" t="s">
        <v>8</v>
      </c>
      <c r="B3" s="6"/>
      <c r="C3" s="7" t="s">
        <v>9</v>
      </c>
      <c r="D3" s="13"/>
      <c r="E3" s="14"/>
      <c r="F3" s="15"/>
      <c r="G3" s="16"/>
    </row>
    <row r="4" spans="1:7" ht="75" x14ac:dyDescent="0.15">
      <c r="A4" s="17">
        <v>1.01</v>
      </c>
      <c r="B4" s="13">
        <v>201</v>
      </c>
      <c r="C4" s="18" t="s">
        <v>10</v>
      </c>
      <c r="D4" s="13" t="s">
        <v>11</v>
      </c>
      <c r="E4" s="17">
        <f>[1]DOQ!I5</f>
        <v>85.783760000000001</v>
      </c>
      <c r="F4" s="15">
        <f>'[2]Full Summary'!$D$29</f>
        <v>33362</v>
      </c>
      <c r="G4" s="16">
        <f>E4*F4</f>
        <v>2861917.80112</v>
      </c>
    </row>
    <row r="5" spans="1:7" ht="45" x14ac:dyDescent="0.15">
      <c r="A5" s="17">
        <v>1.02</v>
      </c>
      <c r="B5" s="13" t="s">
        <v>12</v>
      </c>
      <c r="C5" s="18" t="s">
        <v>13</v>
      </c>
      <c r="D5" s="13"/>
      <c r="E5" s="14"/>
      <c r="F5" s="15"/>
      <c r="G5" s="16"/>
    </row>
    <row r="6" spans="1:7" ht="15" x14ac:dyDescent="0.15">
      <c r="A6" s="17"/>
      <c r="B6" s="13"/>
      <c r="C6" s="18" t="s">
        <v>14</v>
      </c>
      <c r="D6" s="13" t="s">
        <v>15</v>
      </c>
      <c r="E6" s="14">
        <f>[1]DOQ!I7</f>
        <v>0</v>
      </c>
      <c r="F6" s="15">
        <f>'[2]Full Summary'!$D19</f>
        <v>328</v>
      </c>
      <c r="G6" s="16">
        <f>E6*F6</f>
        <v>0</v>
      </c>
    </row>
    <row r="7" spans="1:7" ht="15" x14ac:dyDescent="0.15">
      <c r="A7" s="17"/>
      <c r="B7" s="13"/>
      <c r="C7" s="18" t="s">
        <v>16</v>
      </c>
      <c r="D7" s="13" t="s">
        <v>15</v>
      </c>
      <c r="E7" s="14">
        <f>[1]DOQ!I8</f>
        <v>0</v>
      </c>
      <c r="F7" s="15">
        <f>'[2]Full Summary'!$D20</f>
        <v>571</v>
      </c>
      <c r="G7" s="16">
        <f>E7*F7</f>
        <v>0</v>
      </c>
    </row>
    <row r="8" spans="1:7" ht="15" x14ac:dyDescent="0.15">
      <c r="A8" s="17"/>
      <c r="B8" s="13"/>
      <c r="C8" s="18" t="s">
        <v>17</v>
      </c>
      <c r="D8" s="13" t="s">
        <v>15</v>
      </c>
      <c r="E8" s="14">
        <f>[1]DOQ!I9</f>
        <v>3</v>
      </c>
      <c r="F8" s="15">
        <f>'[2]Full Summary'!$D21</f>
        <v>1132</v>
      </c>
      <c r="G8" s="16">
        <f>E8*F8</f>
        <v>3396</v>
      </c>
    </row>
    <row r="9" spans="1:7" ht="15" x14ac:dyDescent="0.15">
      <c r="A9" s="17"/>
      <c r="B9" s="13"/>
      <c r="C9" s="18" t="s">
        <v>18</v>
      </c>
      <c r="D9" s="13" t="s">
        <v>15</v>
      </c>
      <c r="E9" s="14">
        <f>[1]DOQ!I10</f>
        <v>0</v>
      </c>
      <c r="F9" s="15">
        <f>'[2]Full Summary'!$D22</f>
        <v>2164</v>
      </c>
      <c r="G9" s="16">
        <f>E9*F9</f>
        <v>0</v>
      </c>
    </row>
    <row r="10" spans="1:7" ht="30" x14ac:dyDescent="0.15">
      <c r="A10" s="17">
        <v>1.03</v>
      </c>
      <c r="B10" s="13">
        <v>202</v>
      </c>
      <c r="C10" s="18" t="s">
        <v>19</v>
      </c>
      <c r="D10" s="13"/>
      <c r="E10" s="14"/>
      <c r="F10" s="15"/>
      <c r="G10" s="16"/>
    </row>
    <row r="11" spans="1:7" ht="15" x14ac:dyDescent="0.15">
      <c r="A11" s="17"/>
      <c r="B11" s="13"/>
      <c r="C11" s="18" t="s">
        <v>20</v>
      </c>
      <c r="D11" s="13" t="s">
        <v>21</v>
      </c>
      <c r="E11" s="14">
        <f>+[1]DOQ!I12</f>
        <v>0</v>
      </c>
      <c r="F11" s="15">
        <f>'[2]Full Summary'!$D$35</f>
        <v>574</v>
      </c>
      <c r="G11" s="16">
        <f t="shared" ref="G11:G17" si="0">E11*F11</f>
        <v>0</v>
      </c>
    </row>
    <row r="12" spans="1:7" ht="15" x14ac:dyDescent="0.15">
      <c r="A12" s="17"/>
      <c r="B12" s="13"/>
      <c r="C12" s="18" t="s">
        <v>22</v>
      </c>
      <c r="D12" s="13" t="s">
        <v>21</v>
      </c>
      <c r="E12" s="14">
        <f>+[1]DOQ!I13</f>
        <v>6048</v>
      </c>
      <c r="F12" s="15">
        <f>'[2]Full Summary'!$D$36</f>
        <v>1522</v>
      </c>
      <c r="G12" s="16">
        <f t="shared" si="0"/>
        <v>9205056</v>
      </c>
    </row>
    <row r="13" spans="1:7" ht="15" x14ac:dyDescent="0.15">
      <c r="A13" s="17"/>
      <c r="B13" s="13"/>
      <c r="C13" s="18" t="s">
        <v>23</v>
      </c>
      <c r="D13" s="13" t="s">
        <v>21</v>
      </c>
      <c r="E13" s="14">
        <f>+[1]DOQ!I14</f>
        <v>0</v>
      </c>
      <c r="F13" s="15">
        <f>'[2]Full Summary'!$D$47</f>
        <v>388</v>
      </c>
      <c r="G13" s="16">
        <f t="shared" si="0"/>
        <v>0</v>
      </c>
    </row>
    <row r="14" spans="1:7" ht="15" x14ac:dyDescent="0.15">
      <c r="A14" s="17"/>
      <c r="B14" s="13"/>
      <c r="C14" s="18" t="s">
        <v>24</v>
      </c>
      <c r="D14" s="13" t="s">
        <v>21</v>
      </c>
      <c r="E14" s="14">
        <v>0</v>
      </c>
      <c r="F14" s="15">
        <f>'[2]Full Summary'!$D$50</f>
        <v>257</v>
      </c>
      <c r="G14" s="16">
        <f t="shared" si="0"/>
        <v>0</v>
      </c>
    </row>
    <row r="15" spans="1:7" ht="15" x14ac:dyDescent="0.15">
      <c r="A15" s="17"/>
      <c r="B15" s="13"/>
      <c r="C15" s="18" t="s">
        <v>25</v>
      </c>
      <c r="D15" s="13" t="s">
        <v>26</v>
      </c>
      <c r="E15" s="14">
        <f>[1]DOQ!I16</f>
        <v>0</v>
      </c>
      <c r="F15" s="15">
        <f>'[2]Full Summary'!$D$66</f>
        <v>327</v>
      </c>
      <c r="G15" s="16">
        <f t="shared" si="0"/>
        <v>0</v>
      </c>
    </row>
    <row r="16" spans="1:7" ht="15" x14ac:dyDescent="0.15">
      <c r="A16" s="17"/>
      <c r="B16" s="13"/>
      <c r="C16" s="18" t="s">
        <v>27</v>
      </c>
      <c r="D16" s="13" t="s">
        <v>26</v>
      </c>
      <c r="E16" s="14">
        <f>[1]DOQ!I17</f>
        <v>0</v>
      </c>
      <c r="F16" s="15"/>
      <c r="G16" s="16">
        <f t="shared" si="0"/>
        <v>0</v>
      </c>
    </row>
    <row r="17" spans="1:7" ht="15" x14ac:dyDescent="0.15">
      <c r="A17" s="17"/>
      <c r="B17" s="13"/>
      <c r="C17" s="18" t="s">
        <v>28</v>
      </c>
      <c r="D17" s="13" t="s">
        <v>29</v>
      </c>
      <c r="E17" s="14">
        <f>[1]DOQ!I18</f>
        <v>0</v>
      </c>
      <c r="F17" s="15"/>
      <c r="G17" s="16">
        <f t="shared" si="0"/>
        <v>0</v>
      </c>
    </row>
    <row r="18" spans="1:7" ht="30" x14ac:dyDescent="0.15">
      <c r="A18" s="17">
        <v>1.04</v>
      </c>
      <c r="B18" s="13">
        <v>202</v>
      </c>
      <c r="C18" s="18" t="s">
        <v>30</v>
      </c>
      <c r="D18" s="13"/>
      <c r="E18" s="14"/>
      <c r="F18" s="15"/>
      <c r="G18" s="16"/>
    </row>
    <row r="19" spans="1:7" ht="15" x14ac:dyDescent="0.15">
      <c r="A19" s="17"/>
      <c r="B19" s="13"/>
      <c r="C19" s="18" t="s">
        <v>31</v>
      </c>
      <c r="D19" s="13" t="s">
        <v>21</v>
      </c>
      <c r="E19" s="14">
        <f>[1]DOQ!I20</f>
        <v>13149.927000000001</v>
      </c>
      <c r="F19" s="15">
        <f>'[2]Full Summary'!$D$73</f>
        <v>340</v>
      </c>
      <c r="G19" s="16">
        <f>E19*F19</f>
        <v>4470975.1800000006</v>
      </c>
    </row>
    <row r="20" spans="1:7" ht="15" x14ac:dyDescent="0.15">
      <c r="A20" s="17"/>
      <c r="B20" s="13"/>
      <c r="C20" s="18" t="s">
        <v>32</v>
      </c>
      <c r="D20" s="13" t="s">
        <v>21</v>
      </c>
      <c r="E20" s="14">
        <f>[1]DOQ!I21</f>
        <v>4383.3090000000002</v>
      </c>
      <c r="F20" s="15">
        <f>'[2]Full Summary'!$D$71</f>
        <v>631</v>
      </c>
      <c r="G20" s="16">
        <f>E20*F20</f>
        <v>2765867.9790000003</v>
      </c>
    </row>
    <row r="21" spans="1:7" ht="15" x14ac:dyDescent="0.15">
      <c r="A21" s="17"/>
      <c r="B21" s="13"/>
      <c r="C21" s="18" t="s">
        <v>33</v>
      </c>
      <c r="D21" s="13" t="s">
        <v>21</v>
      </c>
      <c r="E21" s="14">
        <f>[1]DOQ!I22</f>
        <v>0</v>
      </c>
      <c r="F21" s="15">
        <f>'[2]Full Summary'!$D$74</f>
        <v>2415</v>
      </c>
      <c r="G21" s="16">
        <f>E21*F21</f>
        <v>0</v>
      </c>
    </row>
    <row r="22" spans="1:7" ht="15" x14ac:dyDescent="0.15">
      <c r="A22" s="17"/>
      <c r="B22" s="13"/>
      <c r="C22" s="18" t="s">
        <v>34</v>
      </c>
      <c r="D22" s="13" t="s">
        <v>21</v>
      </c>
      <c r="E22" s="14">
        <f>[1]DOQ!I23</f>
        <v>300</v>
      </c>
      <c r="F22" s="15">
        <f>F21</f>
        <v>2415</v>
      </c>
      <c r="G22" s="16">
        <f>E22*F22</f>
        <v>724500</v>
      </c>
    </row>
    <row r="23" spans="1:7" ht="15" x14ac:dyDescent="0.15">
      <c r="A23" s="5"/>
      <c r="B23" s="8"/>
      <c r="C23" s="19" t="s">
        <v>35</v>
      </c>
      <c r="D23" s="8"/>
      <c r="E23" s="20"/>
      <c r="F23" s="15"/>
      <c r="G23" s="21">
        <f>SUM(G4:G22)</f>
        <v>20031712.96012</v>
      </c>
    </row>
    <row r="24" spans="1:7" ht="15" x14ac:dyDescent="0.15">
      <c r="A24" s="5" t="s">
        <v>36</v>
      </c>
      <c r="B24" s="8"/>
      <c r="C24" s="7" t="s">
        <v>37</v>
      </c>
      <c r="D24" s="8"/>
      <c r="E24" s="14"/>
      <c r="F24" s="15"/>
      <c r="G24" s="21"/>
    </row>
    <row r="25" spans="1:7" ht="90" x14ac:dyDescent="0.15">
      <c r="A25" s="17">
        <v>2.0099999999999998</v>
      </c>
      <c r="B25" s="13">
        <v>301</v>
      </c>
      <c r="C25" s="18" t="s">
        <v>38</v>
      </c>
      <c r="D25" s="13"/>
      <c r="E25" s="20"/>
      <c r="F25" s="15"/>
      <c r="G25" s="16"/>
    </row>
    <row r="26" spans="1:7" ht="15" x14ac:dyDescent="0.15">
      <c r="A26" s="17"/>
      <c r="B26" s="13">
        <v>301</v>
      </c>
      <c r="C26" s="18" t="s">
        <v>39</v>
      </c>
      <c r="D26" s="13" t="s">
        <v>21</v>
      </c>
      <c r="E26" s="14">
        <f>[1]DOQ!I27</f>
        <v>102055.72299999982</v>
      </c>
      <c r="F26" s="15">
        <f>'[2]Full Summary'!$D$105</f>
        <v>81</v>
      </c>
      <c r="G26" s="16">
        <f>E26*F26</f>
        <v>8266513.5629999861</v>
      </c>
    </row>
    <row r="27" spans="1:7" ht="15" x14ac:dyDescent="0.15">
      <c r="A27" s="17"/>
      <c r="B27" s="13">
        <v>301</v>
      </c>
      <c r="C27" s="18" t="s">
        <v>40</v>
      </c>
      <c r="D27" s="13" t="s">
        <v>21</v>
      </c>
      <c r="E27" s="22"/>
      <c r="F27" s="15"/>
      <c r="G27" s="16"/>
    </row>
    <row r="28" spans="1:7" ht="15" x14ac:dyDescent="0.15">
      <c r="A28" s="17"/>
      <c r="B28" s="13">
        <v>301</v>
      </c>
      <c r="C28" s="18" t="s">
        <v>41</v>
      </c>
      <c r="D28" s="13" t="s">
        <v>21</v>
      </c>
      <c r="E28" s="22"/>
      <c r="F28" s="15"/>
      <c r="G28" s="16"/>
    </row>
    <row r="29" spans="1:7" ht="15" x14ac:dyDescent="0.15">
      <c r="A29" s="17"/>
      <c r="B29" s="13">
        <v>301</v>
      </c>
      <c r="C29" s="18" t="s">
        <v>42</v>
      </c>
      <c r="D29" s="13" t="s">
        <v>21</v>
      </c>
      <c r="E29" s="22"/>
      <c r="F29" s="15"/>
      <c r="G29" s="16"/>
    </row>
    <row r="30" spans="1:7" ht="15" x14ac:dyDescent="0.15">
      <c r="A30" s="17"/>
      <c r="B30" s="13">
        <v>301</v>
      </c>
      <c r="C30" s="18" t="s">
        <v>43</v>
      </c>
      <c r="D30" s="13" t="s">
        <v>21</v>
      </c>
      <c r="E30" s="22"/>
      <c r="F30" s="15"/>
      <c r="G30" s="16"/>
    </row>
    <row r="31" spans="1:7" ht="120" x14ac:dyDescent="0.15">
      <c r="A31" s="17">
        <f>A25+0.01</f>
        <v>2.0199999999999996</v>
      </c>
      <c r="B31" s="13">
        <v>305</v>
      </c>
      <c r="C31" s="18" t="s">
        <v>44</v>
      </c>
      <c r="D31" s="13" t="s">
        <v>21</v>
      </c>
      <c r="E31" s="22">
        <f>[1]DOQ!I32*0.7</f>
        <v>251696.22971500002</v>
      </c>
      <c r="F31" s="15">
        <f>'[2]Full Summary'!$D$118</f>
        <v>330</v>
      </c>
      <c r="G31" s="16">
        <f t="shared" ref="G31:G36" si="1">E31*F31</f>
        <v>83059755.805950001</v>
      </c>
    </row>
    <row r="32" spans="1:7" ht="120" x14ac:dyDescent="0.15">
      <c r="A32" s="17">
        <f t="shared" ref="A32" si="2">A31+0.01</f>
        <v>2.0299999999999994</v>
      </c>
      <c r="B32" s="13">
        <v>305</v>
      </c>
      <c r="C32" s="18" t="s">
        <v>45</v>
      </c>
      <c r="D32" s="13" t="s">
        <v>21</v>
      </c>
      <c r="E32" s="14">
        <f>[1]DOQ!I34</f>
        <v>86747.364549999853</v>
      </c>
      <c r="F32" s="15">
        <f>'[2]Full Summary'!$D$119</f>
        <v>148</v>
      </c>
      <c r="G32" s="16">
        <f t="shared" si="1"/>
        <v>12838609.953399979</v>
      </c>
    </row>
    <row r="33" spans="1:7" ht="30" x14ac:dyDescent="0.15">
      <c r="A33" s="17">
        <v>2.04</v>
      </c>
      <c r="B33" s="13"/>
      <c r="C33" s="18" t="s">
        <v>46</v>
      </c>
      <c r="D33" s="13" t="s">
        <v>21</v>
      </c>
      <c r="E33" s="22">
        <f>[1]DOQ!I34*0.3</f>
        <v>26024.209364999955</v>
      </c>
      <c r="F33" s="15">
        <f>'[2]3'!$H$782</f>
        <v>174</v>
      </c>
      <c r="G33" s="16">
        <f t="shared" si="1"/>
        <v>4528212.4295099918</v>
      </c>
    </row>
    <row r="34" spans="1:7" ht="30" x14ac:dyDescent="0.15">
      <c r="A34" s="17" t="s">
        <v>47</v>
      </c>
      <c r="B34" s="13"/>
      <c r="C34" s="23" t="s">
        <v>48</v>
      </c>
      <c r="D34" s="13" t="s">
        <v>21</v>
      </c>
      <c r="E34" s="14">
        <f>[1]DOQ!I35</f>
        <v>0</v>
      </c>
      <c r="F34" s="15"/>
      <c r="G34" s="16">
        <f t="shared" si="1"/>
        <v>0</v>
      </c>
    </row>
    <row r="35" spans="1:7" ht="75" x14ac:dyDescent="0.15">
      <c r="A35" s="17">
        <f>A32+0.01</f>
        <v>2.0399999999999991</v>
      </c>
      <c r="B35" s="13">
        <v>305</v>
      </c>
      <c r="C35" s="18" t="s">
        <v>49</v>
      </c>
      <c r="D35" s="13" t="s">
        <v>21</v>
      </c>
      <c r="E35" s="17">
        <f>[1]DOQ!I63+[1]INPUT1!AD11</f>
        <v>267421.90292000002</v>
      </c>
      <c r="F35" s="15">
        <f>'[2]Full Summary'!$D$120</f>
        <v>382</v>
      </c>
      <c r="G35" s="16">
        <f t="shared" si="1"/>
        <v>102155166.91544001</v>
      </c>
    </row>
    <row r="36" spans="1:7" ht="45" x14ac:dyDescent="0.15">
      <c r="A36" s="17">
        <v>2.0499999999999998</v>
      </c>
      <c r="B36" s="13"/>
      <c r="C36" s="18" t="s">
        <v>50</v>
      </c>
      <c r="D36" s="13" t="s">
        <v>21</v>
      </c>
      <c r="E36" s="14">
        <f>[1]DOQ!I67+'[1]Junction X'!H35+'[1]Minor T'!H35</f>
        <v>6576.375</v>
      </c>
      <c r="F36" s="15">
        <f>F32</f>
        <v>148</v>
      </c>
      <c r="G36" s="16">
        <f t="shared" si="1"/>
        <v>973303.5</v>
      </c>
    </row>
    <row r="37" spans="1:7" ht="15" x14ac:dyDescent="0.15">
      <c r="A37" s="5"/>
      <c r="B37" s="8"/>
      <c r="C37" s="19" t="s">
        <v>35</v>
      </c>
      <c r="D37" s="8"/>
      <c r="E37" s="20"/>
      <c r="F37" s="15"/>
      <c r="G37" s="21">
        <f>SUM(G25:G36)</f>
        <v>211821562.16729999</v>
      </c>
    </row>
    <row r="38" spans="1:7" ht="15" x14ac:dyDescent="0.15">
      <c r="A38" s="5" t="s">
        <v>51</v>
      </c>
      <c r="B38" s="8"/>
      <c r="C38" s="7" t="s">
        <v>52</v>
      </c>
      <c r="D38" s="8"/>
      <c r="E38" s="14"/>
      <c r="F38" s="15"/>
      <c r="G38" s="21"/>
    </row>
    <row r="39" spans="1:7" ht="75" x14ac:dyDescent="0.15">
      <c r="A39" s="17">
        <v>3.01</v>
      </c>
      <c r="B39" s="13">
        <v>401</v>
      </c>
      <c r="C39" s="18" t="s">
        <v>53</v>
      </c>
      <c r="D39" s="13" t="s">
        <v>21</v>
      </c>
      <c r="E39" s="14">
        <f>[1]DOQ!I106</f>
        <v>103605.30685399999</v>
      </c>
      <c r="F39" s="15">
        <f>'[2]Full Summary'!$D$149</f>
        <v>2165</v>
      </c>
      <c r="G39" s="16">
        <f>E39*F39</f>
        <v>224305489.33890998</v>
      </c>
    </row>
    <row r="40" spans="1:7" ht="90" x14ac:dyDescent="0.15">
      <c r="A40" s="17">
        <f>A39+0.01</f>
        <v>3.0199999999999996</v>
      </c>
      <c r="B40" s="13">
        <v>406</v>
      </c>
      <c r="C40" s="18" t="s">
        <v>54</v>
      </c>
      <c r="D40" s="13" t="s">
        <v>21</v>
      </c>
      <c r="E40" s="17">
        <f>[1]DOQ!I134+[1]DOQ!I160</f>
        <v>128881.36135875</v>
      </c>
      <c r="F40" s="15">
        <f>'[2]Full Summary'!$D$195</f>
        <v>2261</v>
      </c>
      <c r="G40" s="16">
        <f>E40*F40</f>
        <v>291400758.03213376</v>
      </c>
    </row>
    <row r="41" spans="1:7" ht="15" x14ac:dyDescent="0.15">
      <c r="A41" s="5"/>
      <c r="B41" s="8"/>
      <c r="C41" s="19" t="s">
        <v>35</v>
      </c>
      <c r="D41" s="8"/>
      <c r="E41" s="20"/>
      <c r="F41" s="15"/>
      <c r="G41" s="21">
        <f>SUM(G39:G40)</f>
        <v>515706247.37104374</v>
      </c>
    </row>
    <row r="42" spans="1:7" x14ac:dyDescent="0.15">
      <c r="A42" s="5"/>
      <c r="B42" s="8"/>
      <c r="C42" s="19"/>
      <c r="D42" s="8"/>
      <c r="E42" s="20"/>
      <c r="F42" s="15"/>
      <c r="G42" s="21"/>
    </row>
    <row r="43" spans="1:7" ht="15" x14ac:dyDescent="0.15">
      <c r="A43" s="5" t="s">
        <v>55</v>
      </c>
      <c r="B43" s="8"/>
      <c r="C43" s="7" t="s">
        <v>56</v>
      </c>
      <c r="D43" s="8"/>
      <c r="E43" s="14"/>
      <c r="F43" s="15"/>
      <c r="G43" s="21"/>
    </row>
    <row r="44" spans="1:7" ht="45" x14ac:dyDescent="0.15">
      <c r="A44" s="17">
        <v>4.01</v>
      </c>
      <c r="B44" s="13">
        <v>502</v>
      </c>
      <c r="C44" s="18" t="s">
        <v>57</v>
      </c>
      <c r="D44" s="13" t="s">
        <v>58</v>
      </c>
      <c r="E44" s="14">
        <f>[1]DOQ!I192</f>
        <v>494624.12999999995</v>
      </c>
      <c r="F44" s="15">
        <f>'[2]Full Summary'!$D$210</f>
        <v>30</v>
      </c>
      <c r="G44" s="16">
        <f>E44*F44</f>
        <v>14838723.899999999</v>
      </c>
    </row>
    <row r="45" spans="1:7" ht="30" x14ac:dyDescent="0.15">
      <c r="A45" s="17">
        <v>4.0199999999999996</v>
      </c>
      <c r="B45" s="13">
        <v>503</v>
      </c>
      <c r="C45" s="18" t="s">
        <v>59</v>
      </c>
      <c r="D45" s="13"/>
      <c r="E45" s="22"/>
      <c r="F45" s="15"/>
      <c r="G45" s="16"/>
    </row>
    <row r="46" spans="1:7" ht="15" x14ac:dyDescent="0.15">
      <c r="A46" s="17"/>
      <c r="B46" s="13"/>
      <c r="C46" s="18" t="s">
        <v>60</v>
      </c>
      <c r="D46" s="13" t="s">
        <v>58</v>
      </c>
      <c r="E46" s="14">
        <f>[1]DOQ!I227</f>
        <v>989248.25999999989</v>
      </c>
      <c r="F46" s="15">
        <f>'[2]Full Summary'!$D$212</f>
        <v>11</v>
      </c>
      <c r="G46" s="16">
        <f>E46*F46</f>
        <v>10881730.859999999</v>
      </c>
    </row>
    <row r="47" spans="1:7" x14ac:dyDescent="0.15">
      <c r="A47" s="17"/>
      <c r="B47" s="13"/>
      <c r="C47" s="18"/>
      <c r="D47" s="13"/>
      <c r="E47" s="14"/>
      <c r="F47" s="15"/>
      <c r="G47" s="16"/>
    </row>
    <row r="48" spans="1:7" ht="105" x14ac:dyDescent="0.15">
      <c r="A48" s="17">
        <v>4.03</v>
      </c>
      <c r="B48" s="13">
        <v>507</v>
      </c>
      <c r="C48" s="18" t="s">
        <v>61</v>
      </c>
      <c r="D48" s="13" t="s">
        <v>21</v>
      </c>
      <c r="E48" s="24"/>
      <c r="F48" s="24"/>
      <c r="G48" s="16"/>
    </row>
    <row r="49" spans="1:10" ht="15" x14ac:dyDescent="0.15">
      <c r="A49" s="17"/>
      <c r="B49" s="13"/>
      <c r="C49" s="18" t="s">
        <v>62</v>
      </c>
      <c r="D49" s="13" t="s">
        <v>21</v>
      </c>
      <c r="E49" s="14">
        <f>[1]DOQ!I243</f>
        <v>46989.292350000003</v>
      </c>
      <c r="F49" s="25">
        <f>'[2]Full Summary'!$D$221*1.1</f>
        <v>8280.8000000000011</v>
      </c>
      <c r="G49" s="16">
        <f>E49*F49</f>
        <v>389108932.09188008</v>
      </c>
    </row>
    <row r="50" spans="1:10" ht="15" hidden="1" x14ac:dyDescent="0.15">
      <c r="A50" s="17"/>
      <c r="B50" s="13"/>
      <c r="C50" s="18" t="s">
        <v>63</v>
      </c>
      <c r="D50" s="13" t="s">
        <v>21</v>
      </c>
      <c r="E50" s="14">
        <f>[1]DOQ!I260</f>
        <v>0</v>
      </c>
      <c r="F50" s="15">
        <f>[3]Sheet2!$K$34</f>
        <v>9117.9092492</v>
      </c>
      <c r="G50" s="16">
        <f>E50*F50</f>
        <v>0</v>
      </c>
    </row>
    <row r="51" spans="1:10" ht="105" x14ac:dyDescent="0.15">
      <c r="A51" s="17">
        <v>4.04</v>
      </c>
      <c r="B51" s="13" t="s">
        <v>64</v>
      </c>
      <c r="C51" s="26" t="str">
        <f>[1]DOQ!B262</f>
        <v>Bituminous Concrete (Providing and laying bituminous concrete with 100-120 TPH batch type hot mix plant producing an average output of 75 tonnes per hour using crushed aggregates of specified grading, premixed with bituminous binder @ 5.4 to 5.6 %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509 complete in all respects)</v>
      </c>
      <c r="D51" s="13" t="s">
        <v>21</v>
      </c>
      <c r="E51" s="14"/>
      <c r="F51" s="24"/>
      <c r="G51" s="16"/>
    </row>
    <row r="52" spans="1:10" ht="15" x14ac:dyDescent="0.15">
      <c r="A52" s="17"/>
      <c r="B52" s="13"/>
      <c r="C52" s="18" t="s">
        <v>65</v>
      </c>
      <c r="D52" s="13" t="s">
        <v>21</v>
      </c>
      <c r="E52" s="14">
        <f>[1]DOQ!I279</f>
        <v>19784.965199999999</v>
      </c>
      <c r="F52" s="25">
        <f>'[2]Full Summary'!$D$227*1.1</f>
        <v>9291.7000000000007</v>
      </c>
      <c r="G52" s="16">
        <f>E52*F52</f>
        <v>183835961.14884001</v>
      </c>
    </row>
    <row r="53" spans="1:10" ht="15" hidden="1" x14ac:dyDescent="0.15">
      <c r="A53" s="17"/>
      <c r="B53" s="13"/>
      <c r="C53" s="18" t="s">
        <v>63</v>
      </c>
      <c r="D53" s="13" t="s">
        <v>21</v>
      </c>
      <c r="E53" s="14">
        <f>[1]DOQ!I295</f>
        <v>0</v>
      </c>
      <c r="F53" s="15">
        <f>[3]Sheet2!$K$39</f>
        <v>10354.318581759999</v>
      </c>
      <c r="G53" s="16">
        <f>E53*F53</f>
        <v>0</v>
      </c>
    </row>
    <row r="54" spans="1:10" ht="30" x14ac:dyDescent="0.15">
      <c r="A54" s="17">
        <f>A51+0.01</f>
        <v>4.05</v>
      </c>
      <c r="B54" s="13"/>
      <c r="C54" s="18" t="s">
        <v>66</v>
      </c>
      <c r="D54" s="13" t="s">
        <v>21</v>
      </c>
      <c r="E54" s="14">
        <f>[1]DOQ!I301</f>
        <v>2625.6601500000006</v>
      </c>
      <c r="F54" s="15">
        <f>'[2]Full Summary'!$D$266</f>
        <v>3224</v>
      </c>
      <c r="G54" s="16">
        <f>E54*F54</f>
        <v>8465128.3236000016</v>
      </c>
    </row>
    <row r="55" spans="1:10" ht="45" x14ac:dyDescent="0.15">
      <c r="A55" s="17">
        <f>A54+0.01</f>
        <v>4.0599999999999996</v>
      </c>
      <c r="B55" s="13"/>
      <c r="C55" s="18" t="s">
        <v>67</v>
      </c>
      <c r="D55" s="13" t="s">
        <v>21</v>
      </c>
      <c r="E55" s="14">
        <f>[1]DOQ!I305</f>
        <v>4752.5502800000013</v>
      </c>
      <c r="F55" s="15">
        <f>'[2]Full Summary'!$D$267</f>
        <v>6145</v>
      </c>
      <c r="G55" s="16">
        <f>E55*F55</f>
        <v>29204421.470600009</v>
      </c>
      <c r="J55" s="4">
        <f>G55/10^7</f>
        <v>2.920442147060001</v>
      </c>
    </row>
    <row r="56" spans="1:10" ht="15" x14ac:dyDescent="0.15">
      <c r="A56" s="5"/>
      <c r="B56" s="8"/>
      <c r="C56" s="19" t="s">
        <v>35</v>
      </c>
      <c r="D56" s="8"/>
      <c r="E56" s="20"/>
      <c r="F56" s="15"/>
      <c r="G56" s="21">
        <f>SUM(G44:G55)</f>
        <v>636334897.79492009</v>
      </c>
    </row>
    <row r="57" spans="1:10" ht="15" x14ac:dyDescent="0.15">
      <c r="A57" s="5" t="s">
        <v>68</v>
      </c>
      <c r="B57" s="8"/>
      <c r="C57" s="19" t="s">
        <v>69</v>
      </c>
      <c r="D57" s="8"/>
      <c r="E57" s="20"/>
      <c r="F57" s="15"/>
      <c r="G57" s="21"/>
    </row>
    <row r="58" spans="1:10" ht="30" x14ac:dyDescent="0.15">
      <c r="A58" s="27">
        <v>5.01</v>
      </c>
      <c r="B58" s="27"/>
      <c r="C58" s="28" t="s">
        <v>70</v>
      </c>
      <c r="D58" s="29" t="s">
        <v>21</v>
      </c>
      <c r="E58" s="30">
        <f>[1]DOQ!I307</f>
        <v>9154.1003000000001</v>
      </c>
      <c r="F58" s="31">
        <f>'[2]Full Summary'!$D$452</f>
        <v>163</v>
      </c>
      <c r="G58" s="16">
        <f>E58*F58</f>
        <v>1492118.3489000001</v>
      </c>
      <c r="I58" s="32"/>
    </row>
    <row r="59" spans="1:10" ht="45" x14ac:dyDescent="0.15">
      <c r="A59" s="27">
        <f>A58+0.01</f>
        <v>5.0199999999999996</v>
      </c>
      <c r="B59" s="27"/>
      <c r="C59" s="28" t="s">
        <v>71</v>
      </c>
      <c r="D59" s="29" t="s">
        <v>21</v>
      </c>
      <c r="E59" s="30">
        <f>[1]DOQ!I308</f>
        <v>3922.3970555555557</v>
      </c>
      <c r="F59" s="31">
        <f>'[2]Full Summary'!$D$942</f>
        <v>4658</v>
      </c>
      <c r="G59" s="16">
        <f>E59*F59</f>
        <v>18270525.484777778</v>
      </c>
      <c r="H59" s="4">
        <f>+G59/10^7</f>
        <v>1.8270525484777778</v>
      </c>
      <c r="I59" s="32"/>
    </row>
    <row r="60" spans="1:10" ht="30" x14ac:dyDescent="0.15">
      <c r="A60" s="27">
        <f>A59+0.01</f>
        <v>5.0299999999999994</v>
      </c>
      <c r="B60" s="27"/>
      <c r="C60" s="28" t="s">
        <v>72</v>
      </c>
      <c r="D60" s="29" t="s">
        <v>21</v>
      </c>
      <c r="E60" s="30">
        <f>[1]DOQ!I309</f>
        <v>2159.9658533495258</v>
      </c>
      <c r="F60" s="31">
        <f>'[2]Full Summary'!$D$944*0.7</f>
        <v>3284.3999999999996</v>
      </c>
      <c r="G60" s="16">
        <f>E60*F60</f>
        <v>7094191.8487411821</v>
      </c>
      <c r="H60" s="4">
        <f>+G60/10^7</f>
        <v>0.70941918487411826</v>
      </c>
      <c r="I60" s="32"/>
    </row>
    <row r="61" spans="1:10" ht="60" x14ac:dyDescent="0.15">
      <c r="A61" s="27">
        <f>A60+0.01</f>
        <v>5.0399999999999991</v>
      </c>
      <c r="B61" s="27"/>
      <c r="C61" s="28" t="s">
        <v>73</v>
      </c>
      <c r="D61" s="29" t="s">
        <v>21</v>
      </c>
      <c r="E61" s="30">
        <f>[1]DOQ!I310</f>
        <v>2603.59</v>
      </c>
      <c r="F61" s="31">
        <f>'[2]Full Summary'!$D$1092</f>
        <v>6536</v>
      </c>
      <c r="G61" s="16">
        <f>E61*F61</f>
        <v>17017064.240000002</v>
      </c>
      <c r="I61" s="32"/>
    </row>
    <row r="62" spans="1:10" ht="45" x14ac:dyDescent="0.15">
      <c r="A62" s="33">
        <f>A61+0.01</f>
        <v>5.0499999999999989</v>
      </c>
      <c r="B62" s="34"/>
      <c r="C62" s="28" t="s">
        <v>74</v>
      </c>
      <c r="D62" s="35"/>
      <c r="E62" s="30">
        <f>[1]DOQ!I311</f>
        <v>0</v>
      </c>
      <c r="F62" s="15"/>
      <c r="G62" s="16"/>
      <c r="I62" s="32"/>
    </row>
    <row r="63" spans="1:10" ht="15" x14ac:dyDescent="0.15">
      <c r="A63" s="33"/>
      <c r="B63" s="34"/>
      <c r="C63" s="28" t="s">
        <v>75</v>
      </c>
      <c r="D63" s="35" t="s">
        <v>21</v>
      </c>
      <c r="E63" s="30">
        <f>[1]DOQ!I312</f>
        <v>0</v>
      </c>
      <c r="F63" s="36"/>
      <c r="G63" s="16">
        <f>E63*F63</f>
        <v>0</v>
      </c>
      <c r="I63" s="32"/>
    </row>
    <row r="64" spans="1:10" ht="15" x14ac:dyDescent="0.15">
      <c r="A64" s="33"/>
      <c r="B64" s="34"/>
      <c r="C64" s="28" t="s">
        <v>76</v>
      </c>
      <c r="D64" s="29" t="s">
        <v>21</v>
      </c>
      <c r="E64" s="30">
        <f>[1]DOQ!I313</f>
        <v>0</v>
      </c>
      <c r="F64" s="37">
        <v>0</v>
      </c>
      <c r="G64" s="16">
        <f>E64*F64</f>
        <v>0</v>
      </c>
      <c r="I64" s="32"/>
    </row>
    <row r="65" spans="1:9" ht="15" x14ac:dyDescent="0.15">
      <c r="A65" s="33"/>
      <c r="B65" s="34"/>
      <c r="C65" s="28" t="s">
        <v>77</v>
      </c>
      <c r="D65" s="29" t="s">
        <v>21</v>
      </c>
      <c r="E65" s="30">
        <f>[1]DOQ!I314</f>
        <v>835.25800000000004</v>
      </c>
      <c r="F65" s="31">
        <f>'[2]Full Summary'!$D$494</f>
        <v>10570</v>
      </c>
      <c r="G65" s="16">
        <f t="shared" ref="G65:G66" si="3">E65*F65</f>
        <v>8828677.0600000005</v>
      </c>
      <c r="I65" s="32"/>
    </row>
    <row r="66" spans="1:9" ht="15" x14ac:dyDescent="0.15">
      <c r="A66" s="27"/>
      <c r="B66" s="29"/>
      <c r="C66" s="28" t="s">
        <v>78</v>
      </c>
      <c r="D66" s="29"/>
      <c r="E66" s="30">
        <f>[1]DOQ!I315</f>
        <v>0</v>
      </c>
      <c r="F66" s="36"/>
      <c r="G66" s="16">
        <f t="shared" si="3"/>
        <v>0</v>
      </c>
      <c r="I66" s="32"/>
    </row>
    <row r="67" spans="1:9" ht="15" x14ac:dyDescent="0.15">
      <c r="A67" s="27"/>
      <c r="B67" s="29"/>
      <c r="C67" s="28" t="s">
        <v>79</v>
      </c>
      <c r="D67" s="29" t="s">
        <v>21</v>
      </c>
      <c r="E67" s="30">
        <f>[1]DOQ!I316</f>
        <v>0</v>
      </c>
      <c r="F67" s="15"/>
      <c r="G67" s="16">
        <f>E67*F67</f>
        <v>0</v>
      </c>
      <c r="I67" s="32"/>
    </row>
    <row r="68" spans="1:9" ht="45" x14ac:dyDescent="0.15">
      <c r="A68" s="33">
        <f>A62+0.01</f>
        <v>5.0599999999999987</v>
      </c>
      <c r="B68" s="34"/>
      <c r="C68" s="28" t="s">
        <v>80</v>
      </c>
      <c r="D68" s="29"/>
      <c r="E68" s="30">
        <f>[1]DOQ!I317</f>
        <v>0</v>
      </c>
      <c r="F68" s="15"/>
      <c r="G68" s="16"/>
      <c r="I68" s="32"/>
    </row>
    <row r="69" spans="1:9" ht="15" x14ac:dyDescent="0.15">
      <c r="A69" s="33"/>
      <c r="B69" s="34"/>
      <c r="C69" s="28" t="s">
        <v>81</v>
      </c>
      <c r="D69" s="29" t="s">
        <v>21</v>
      </c>
      <c r="E69" s="30">
        <f>[1]DOQ!I318</f>
        <v>2931.4560000000001</v>
      </c>
      <c r="F69" s="31">
        <f>'[2]Full Summary'!$D$985</f>
        <v>12205</v>
      </c>
      <c r="G69" s="16">
        <f>E69*F69</f>
        <v>35778420.480000004</v>
      </c>
      <c r="I69" s="32"/>
    </row>
    <row r="70" spans="1:9" ht="45" x14ac:dyDescent="0.15">
      <c r="A70" s="27">
        <f>A68+0.01</f>
        <v>5.0699999999999985</v>
      </c>
      <c r="B70" s="27"/>
      <c r="C70" s="28" t="s">
        <v>82</v>
      </c>
      <c r="D70" s="29" t="s">
        <v>21</v>
      </c>
      <c r="E70" s="30">
        <f>[1]DOQ!I319</f>
        <v>618.61646391403031</v>
      </c>
      <c r="F70" s="31">
        <f>'[2]Full Summary'!$D$901</f>
        <v>10790</v>
      </c>
      <c r="G70" s="16">
        <f>E70*F70</f>
        <v>6674871.6456323871</v>
      </c>
      <c r="I70" s="32"/>
    </row>
    <row r="71" spans="1:9" ht="30" x14ac:dyDescent="0.15">
      <c r="A71" s="27">
        <f t="shared" ref="A71:A84" si="4">A70+0.01</f>
        <v>5.0799999999999983</v>
      </c>
      <c r="B71" s="27"/>
      <c r="C71" s="28" t="s">
        <v>83</v>
      </c>
      <c r="D71" s="29"/>
      <c r="E71" s="30"/>
      <c r="F71" s="31"/>
      <c r="G71" s="16"/>
      <c r="I71" s="32"/>
    </row>
    <row r="72" spans="1:9" ht="15" hidden="1" x14ac:dyDescent="0.15">
      <c r="A72" s="27"/>
      <c r="B72" s="27"/>
      <c r="C72" s="38" t="s">
        <v>84</v>
      </c>
      <c r="D72" s="29" t="s">
        <v>85</v>
      </c>
      <c r="E72" s="30"/>
      <c r="F72" s="15"/>
      <c r="G72" s="16">
        <v>0</v>
      </c>
      <c r="I72" s="39"/>
    </row>
    <row r="73" spans="1:9" ht="15" hidden="1" x14ac:dyDescent="0.15">
      <c r="A73" s="27"/>
      <c r="B73" s="27"/>
      <c r="C73" s="38" t="s">
        <v>86</v>
      </c>
      <c r="D73" s="29" t="s">
        <v>85</v>
      </c>
      <c r="E73" s="30"/>
      <c r="F73" s="15"/>
      <c r="G73" s="16">
        <v>0</v>
      </c>
      <c r="I73" s="32"/>
    </row>
    <row r="74" spans="1:9" ht="15" hidden="1" x14ac:dyDescent="0.15">
      <c r="A74" s="27"/>
      <c r="B74" s="27"/>
      <c r="C74" s="38" t="s">
        <v>87</v>
      </c>
      <c r="D74" s="29" t="s">
        <v>85</v>
      </c>
      <c r="E74" s="30"/>
      <c r="F74" s="15"/>
      <c r="G74" s="16">
        <v>0</v>
      </c>
      <c r="I74" s="32"/>
    </row>
    <row r="75" spans="1:9" ht="15" x14ac:dyDescent="0.15">
      <c r="A75" s="27"/>
      <c r="B75" s="27"/>
      <c r="C75" s="38" t="s">
        <v>84</v>
      </c>
      <c r="D75" s="29" t="s">
        <v>88</v>
      </c>
      <c r="E75" s="30">
        <f>[4]BOX!$BC$20</f>
        <v>58.468077499999993</v>
      </c>
      <c r="F75" s="15">
        <v>57164</v>
      </c>
      <c r="G75" s="16">
        <f>E75*F75</f>
        <v>3342269.1822099998</v>
      </c>
      <c r="I75" s="32"/>
    </row>
    <row r="76" spans="1:9" ht="15" x14ac:dyDescent="0.15">
      <c r="A76" s="27"/>
      <c r="B76" s="27"/>
      <c r="C76" s="38" t="s">
        <v>89</v>
      </c>
      <c r="D76" s="29" t="s">
        <v>88</v>
      </c>
      <c r="E76" s="30">
        <f>[4]BOX!$BD$20</f>
        <v>192.56538000000003</v>
      </c>
      <c r="F76" s="15">
        <v>57361</v>
      </c>
      <c r="G76" s="16">
        <f>E76*F76</f>
        <v>11045742.762180002</v>
      </c>
      <c r="I76" s="32"/>
    </row>
    <row r="77" spans="1:9" ht="15" x14ac:dyDescent="0.15">
      <c r="A77" s="27"/>
      <c r="B77" s="27"/>
      <c r="C77" s="38" t="s">
        <v>90</v>
      </c>
      <c r="D77" s="29" t="s">
        <v>88</v>
      </c>
      <c r="E77" s="30">
        <f>[4]BOX!$BE$20</f>
        <v>39.024912499999999</v>
      </c>
      <c r="F77" s="15">
        <v>58779</v>
      </c>
      <c r="G77" s="16">
        <f>E77*F77</f>
        <v>2293845.3318375</v>
      </c>
      <c r="I77" s="32"/>
    </row>
    <row r="78" spans="1:9" ht="30" x14ac:dyDescent="0.15">
      <c r="A78" s="27">
        <f>A71+0.01</f>
        <v>5.0899999999999981</v>
      </c>
      <c r="B78" s="27"/>
      <c r="C78" s="28" t="s">
        <v>91</v>
      </c>
      <c r="D78" s="29" t="s">
        <v>21</v>
      </c>
      <c r="E78" s="30">
        <f>[1]DOQ!I321</f>
        <v>928.37270669905183</v>
      </c>
      <c r="F78" s="31">
        <f>'[2]Full Summary'!$D$1118</f>
        <v>1837</v>
      </c>
      <c r="G78" s="16">
        <f t="shared" ref="G78:G82" si="5">E78*F78</f>
        <v>1705420.6622061583</v>
      </c>
      <c r="I78" s="32"/>
    </row>
    <row r="79" spans="1:9" ht="30" x14ac:dyDescent="0.15">
      <c r="A79" s="27">
        <f t="shared" si="4"/>
        <v>5.0999999999999979</v>
      </c>
      <c r="B79" s="27"/>
      <c r="C79" s="40" t="s">
        <v>92</v>
      </c>
      <c r="D79" s="29" t="s">
        <v>21</v>
      </c>
      <c r="E79" s="30">
        <f>[1]DOQ!I322</f>
        <v>2063.5250000000001</v>
      </c>
      <c r="F79" s="31">
        <f>+'[2]13'!$H$686</f>
        <v>1340</v>
      </c>
      <c r="G79" s="16">
        <f t="shared" si="5"/>
        <v>2765123.5</v>
      </c>
      <c r="I79" s="32"/>
    </row>
    <row r="80" spans="1:9" ht="30" x14ac:dyDescent="0.15">
      <c r="A80" s="27">
        <f t="shared" si="4"/>
        <v>5.1099999999999977</v>
      </c>
      <c r="B80" s="27"/>
      <c r="C80" s="28" t="s">
        <v>93</v>
      </c>
      <c r="D80" s="29" t="s">
        <v>94</v>
      </c>
      <c r="E80" s="30">
        <f>[1]DOQ!I323</f>
        <v>2342</v>
      </c>
      <c r="F80" s="31">
        <f>'[2]Full Summary'!$D$940</f>
        <v>347</v>
      </c>
      <c r="G80" s="16">
        <f t="shared" si="5"/>
        <v>812674</v>
      </c>
      <c r="I80" s="32"/>
    </row>
    <row r="81" spans="1:9" ht="30" x14ac:dyDescent="0.15">
      <c r="A81" s="27">
        <f t="shared" si="4"/>
        <v>5.1199999999999974</v>
      </c>
      <c r="B81" s="27"/>
      <c r="C81" s="28" t="s">
        <v>95</v>
      </c>
      <c r="D81" s="29" t="s">
        <v>96</v>
      </c>
      <c r="E81" s="30">
        <f>[1]DOQ!I324</f>
        <v>0</v>
      </c>
      <c r="F81" s="36"/>
      <c r="G81" s="16">
        <f t="shared" si="5"/>
        <v>0</v>
      </c>
      <c r="I81" s="32"/>
    </row>
    <row r="82" spans="1:9" ht="15" x14ac:dyDescent="0.15">
      <c r="A82" s="27">
        <f t="shared" si="4"/>
        <v>5.1299999999999972</v>
      </c>
      <c r="B82" s="27"/>
      <c r="C82" s="28" t="s">
        <v>97</v>
      </c>
      <c r="D82" s="29" t="s">
        <v>98</v>
      </c>
      <c r="E82" s="30">
        <f>[1]DOQ!I325</f>
        <v>116</v>
      </c>
      <c r="F82" s="36">
        <v>80</v>
      </c>
      <c r="G82" s="16">
        <f t="shared" si="5"/>
        <v>9280</v>
      </c>
      <c r="I82" s="32"/>
    </row>
    <row r="83" spans="1:9" ht="30" x14ac:dyDescent="0.15">
      <c r="A83" s="27">
        <f t="shared" si="4"/>
        <v>5.139999999999997</v>
      </c>
      <c r="B83" s="27"/>
      <c r="C83" s="28" t="s">
        <v>99</v>
      </c>
      <c r="D83" s="29" t="s">
        <v>21</v>
      </c>
      <c r="E83" s="30">
        <f>[1]DOQ!I326</f>
        <v>345.78654999999998</v>
      </c>
      <c r="F83" s="36">
        <f>'[2]9'!$G$40</f>
        <v>2970.7</v>
      </c>
      <c r="G83" s="16"/>
      <c r="I83" s="32"/>
    </row>
    <row r="84" spans="1:9" ht="30" x14ac:dyDescent="0.15">
      <c r="A84" s="33">
        <f t="shared" si="4"/>
        <v>5.1499999999999968</v>
      </c>
      <c r="B84" s="34"/>
      <c r="C84" s="28" t="s">
        <v>100</v>
      </c>
      <c r="D84" s="29" t="s">
        <v>96</v>
      </c>
      <c r="E84" s="30">
        <f>[1]DOQ!I327</f>
        <v>0</v>
      </c>
      <c r="F84" s="36"/>
      <c r="G84" s="16"/>
      <c r="I84" s="32"/>
    </row>
    <row r="85" spans="1:9" ht="15" x14ac:dyDescent="0.15">
      <c r="A85" s="33"/>
      <c r="B85" s="34"/>
      <c r="C85" s="28" t="s">
        <v>101</v>
      </c>
      <c r="D85" s="29" t="s">
        <v>96</v>
      </c>
      <c r="E85" s="30">
        <f>[1]DOQ!I328</f>
        <v>0</v>
      </c>
      <c r="F85" s="36"/>
      <c r="G85" s="16"/>
      <c r="I85" s="32"/>
    </row>
    <row r="86" spans="1:9" ht="15" x14ac:dyDescent="0.15">
      <c r="A86" s="33"/>
      <c r="B86" s="34"/>
      <c r="C86" s="28" t="s">
        <v>102</v>
      </c>
      <c r="D86" s="29" t="s">
        <v>96</v>
      </c>
      <c r="E86" s="30">
        <f>[1]DOQ!I329</f>
        <v>0</v>
      </c>
      <c r="F86" s="36"/>
      <c r="G86" s="16"/>
      <c r="I86" s="39"/>
    </row>
    <row r="87" spans="1:9" ht="15" x14ac:dyDescent="0.15">
      <c r="A87" s="33"/>
      <c r="B87" s="34"/>
      <c r="C87" s="28" t="s">
        <v>103</v>
      </c>
      <c r="D87" s="29" t="s">
        <v>96</v>
      </c>
      <c r="E87" s="30">
        <f>[1]DOQ!I330</f>
        <v>0</v>
      </c>
      <c r="F87" s="36"/>
      <c r="G87" s="16"/>
      <c r="I87" s="39"/>
    </row>
    <row r="88" spans="1:9" ht="15" x14ac:dyDescent="0.15">
      <c r="A88" s="33"/>
      <c r="B88" s="34"/>
      <c r="C88" s="28" t="s">
        <v>104</v>
      </c>
      <c r="D88" s="29" t="s">
        <v>96</v>
      </c>
      <c r="E88" s="30">
        <f>[1]DOQ!I331</f>
        <v>0</v>
      </c>
      <c r="F88" s="36"/>
      <c r="G88" s="16">
        <f>E88*F88</f>
        <v>0</v>
      </c>
      <c r="I88" s="41"/>
    </row>
    <row r="89" spans="1:9" ht="15" x14ac:dyDescent="0.15">
      <c r="A89" s="33"/>
      <c r="B89" s="34"/>
      <c r="C89" s="28" t="s">
        <v>105</v>
      </c>
      <c r="D89" s="29" t="s">
        <v>96</v>
      </c>
      <c r="E89" s="30">
        <f>[1]DOQ!I332</f>
        <v>348.59999999999997</v>
      </c>
      <c r="F89" s="31">
        <f>'[2]Full Summary'!$D$385</f>
        <v>13513</v>
      </c>
      <c r="G89" s="16">
        <f>E89*F89</f>
        <v>4710631.8</v>
      </c>
      <c r="I89" s="42"/>
    </row>
    <row r="90" spans="1:9" ht="30" x14ac:dyDescent="0.15">
      <c r="A90" s="27">
        <f>A84+0.01</f>
        <v>5.1599999999999966</v>
      </c>
      <c r="B90" s="27"/>
      <c r="C90" s="40" t="s">
        <v>106</v>
      </c>
      <c r="D90" s="29" t="s">
        <v>98</v>
      </c>
      <c r="E90" s="30">
        <f>[1]DOQ!I333</f>
        <v>80</v>
      </c>
      <c r="F90" s="31">
        <f>'[2]Full Summary'!$D$1091</f>
        <v>2782</v>
      </c>
      <c r="G90" s="16">
        <f>E90*F90</f>
        <v>222560</v>
      </c>
      <c r="I90" s="39"/>
    </row>
    <row r="91" spans="1:9" ht="30" x14ac:dyDescent="0.15">
      <c r="A91" s="27">
        <f>A90+0.01</f>
        <v>5.1699999999999964</v>
      </c>
      <c r="B91" s="27"/>
      <c r="C91" s="40" t="s">
        <v>107</v>
      </c>
      <c r="D91" s="29" t="s">
        <v>58</v>
      </c>
      <c r="E91" s="30">
        <f>[1]DOQ!I334</f>
        <v>0</v>
      </c>
      <c r="F91" s="36"/>
      <c r="G91" s="16"/>
      <c r="I91" s="41"/>
    </row>
    <row r="92" spans="1:9" ht="30" x14ac:dyDescent="0.15">
      <c r="A92" s="27">
        <f>A91+0.01</f>
        <v>5.1799999999999962</v>
      </c>
      <c r="B92" s="27"/>
      <c r="C92" s="43" t="s">
        <v>108</v>
      </c>
      <c r="D92" s="29" t="s">
        <v>98</v>
      </c>
      <c r="E92" s="30">
        <f>[1]DOQ!I335</f>
        <v>0</v>
      </c>
      <c r="F92" s="36"/>
      <c r="G92" s="16"/>
      <c r="I92" s="41"/>
    </row>
    <row r="93" spans="1:9" ht="30" x14ac:dyDescent="0.15">
      <c r="A93" s="27">
        <f>A92+0.01</f>
        <v>5.1899999999999959</v>
      </c>
      <c r="B93" s="27"/>
      <c r="C93" s="44" t="s">
        <v>109</v>
      </c>
      <c r="D93" s="29" t="s">
        <v>58</v>
      </c>
      <c r="E93" s="30">
        <f>[1]DOQ!I336</f>
        <v>0</v>
      </c>
      <c r="F93" s="36"/>
      <c r="G93" s="16"/>
      <c r="I93" s="41"/>
    </row>
    <row r="94" spans="1:9" ht="30" x14ac:dyDescent="0.15">
      <c r="A94" s="33">
        <f>A93+0.01</f>
        <v>5.1999999999999957</v>
      </c>
      <c r="B94" s="34"/>
      <c r="C94" s="40" t="s">
        <v>110</v>
      </c>
      <c r="D94" s="45"/>
      <c r="E94" s="30">
        <f>[1]DOQ!I337</f>
        <v>0</v>
      </c>
      <c r="F94" s="36"/>
      <c r="G94" s="16"/>
      <c r="I94" s="41"/>
    </row>
    <row r="95" spans="1:9" ht="15" x14ac:dyDescent="0.15">
      <c r="A95" s="33"/>
      <c r="B95" s="34"/>
      <c r="C95" s="43" t="s">
        <v>111</v>
      </c>
      <c r="D95" s="29" t="s">
        <v>21</v>
      </c>
      <c r="E95" s="30">
        <f>[1]DOQ!I338</f>
        <v>0</v>
      </c>
      <c r="F95" s="36"/>
      <c r="G95" s="16">
        <f t="shared" ref="G95:G105" si="6">E95*F95</f>
        <v>0</v>
      </c>
      <c r="I95" s="32"/>
    </row>
    <row r="96" spans="1:9" ht="15" x14ac:dyDescent="0.15">
      <c r="A96" s="33"/>
      <c r="B96" s="34"/>
      <c r="C96" s="43" t="s">
        <v>112</v>
      </c>
      <c r="D96" s="29" t="s">
        <v>21</v>
      </c>
      <c r="E96" s="30">
        <f>[1]DOQ!I339</f>
        <v>0</v>
      </c>
      <c r="F96" s="36"/>
      <c r="G96" s="16">
        <f t="shared" si="6"/>
        <v>0</v>
      </c>
      <c r="I96" s="32"/>
    </row>
    <row r="97" spans="1:9" ht="15" x14ac:dyDescent="0.15">
      <c r="A97" s="33"/>
      <c r="B97" s="34"/>
      <c r="C97" s="43" t="s">
        <v>113</v>
      </c>
      <c r="D97" s="29" t="s">
        <v>21</v>
      </c>
      <c r="E97" s="30">
        <f>[1]DOQ!I340</f>
        <v>0</v>
      </c>
      <c r="F97" s="36"/>
      <c r="G97" s="16">
        <f t="shared" si="6"/>
        <v>0</v>
      </c>
      <c r="I97" s="32"/>
    </row>
    <row r="98" spans="1:9" ht="15" x14ac:dyDescent="0.15">
      <c r="A98" s="33"/>
      <c r="B98" s="34"/>
      <c r="C98" s="43" t="s">
        <v>114</v>
      </c>
      <c r="D98" s="29" t="s">
        <v>96</v>
      </c>
      <c r="E98" s="30">
        <f>[1]DOQ!I341</f>
        <v>0</v>
      </c>
      <c r="F98" s="36"/>
      <c r="G98" s="16">
        <f t="shared" si="6"/>
        <v>0</v>
      </c>
      <c r="I98" s="39"/>
    </row>
    <row r="99" spans="1:9" ht="30" x14ac:dyDescent="0.15">
      <c r="A99" s="46">
        <f>A94+0.01</f>
        <v>5.2099999999999955</v>
      </c>
      <c r="B99" s="47"/>
      <c r="C99" s="28" t="s">
        <v>115</v>
      </c>
      <c r="D99" s="45" t="s">
        <v>21</v>
      </c>
      <c r="E99" s="30">
        <f>[1]DOQ!I342</f>
        <v>2487.3130000000001</v>
      </c>
      <c r="F99" s="31">
        <f>'[2]Full Summary'!$D$1130</f>
        <v>1922</v>
      </c>
      <c r="G99" s="16">
        <f t="shared" si="6"/>
        <v>4780615.5860000001</v>
      </c>
      <c r="I99" s="41"/>
    </row>
    <row r="100" spans="1:9" ht="30" x14ac:dyDescent="0.15">
      <c r="A100" s="46">
        <f>A99+0.01</f>
        <v>5.2199999999999953</v>
      </c>
      <c r="B100" s="47"/>
      <c r="C100" s="28" t="s">
        <v>116</v>
      </c>
      <c r="D100" s="45" t="s">
        <v>58</v>
      </c>
      <c r="E100" s="30">
        <f>[1]DOQ!I343</f>
        <v>1715.674</v>
      </c>
      <c r="F100" s="15">
        <v>4715.9905760000001</v>
      </c>
      <c r="G100" s="16">
        <f>E100*F100</f>
        <v>8091102.4154882245</v>
      </c>
      <c r="I100" s="41"/>
    </row>
    <row r="101" spans="1:9" ht="30" x14ac:dyDescent="0.15">
      <c r="A101" s="46">
        <f>A100+0.01</f>
        <v>5.2299999999999951</v>
      </c>
      <c r="B101" s="47"/>
      <c r="C101" s="28" t="s">
        <v>117</v>
      </c>
      <c r="D101" s="45" t="s">
        <v>21</v>
      </c>
      <c r="E101" s="30">
        <f>[1]DOQ!I344</f>
        <v>0</v>
      </c>
      <c r="F101" s="31">
        <f>'[2]Full Summary'!$D$1093</f>
        <v>13356</v>
      </c>
      <c r="G101" s="16">
        <f t="shared" si="6"/>
        <v>0</v>
      </c>
      <c r="I101" s="41"/>
    </row>
    <row r="102" spans="1:9" ht="45" x14ac:dyDescent="0.15">
      <c r="A102" s="46">
        <f>A101+0.01</f>
        <v>5.2399999999999949</v>
      </c>
      <c r="B102" s="47"/>
      <c r="C102" s="40" t="s">
        <v>118</v>
      </c>
      <c r="D102" s="45" t="s">
        <v>58</v>
      </c>
      <c r="E102" s="30">
        <f>[1]DOQ!I345</f>
        <v>5916.375</v>
      </c>
      <c r="F102" s="31">
        <f>'[2]Full Summary'!$D$1136</f>
        <v>102</v>
      </c>
      <c r="G102" s="16">
        <f t="shared" si="6"/>
        <v>603470.25</v>
      </c>
    </row>
    <row r="103" spans="1:9" ht="45" x14ac:dyDescent="0.15">
      <c r="A103" s="46">
        <f>A102+0.01</f>
        <v>5.2499999999999947</v>
      </c>
      <c r="B103" s="48"/>
      <c r="C103" s="43" t="s">
        <v>119</v>
      </c>
      <c r="D103" s="45" t="s">
        <v>96</v>
      </c>
      <c r="E103" s="30">
        <f>[1]DOQ!I346</f>
        <v>0</v>
      </c>
      <c r="F103" s="36"/>
      <c r="G103" s="16">
        <f t="shared" si="6"/>
        <v>0</v>
      </c>
    </row>
    <row r="104" spans="1:9" ht="30" x14ac:dyDescent="0.15">
      <c r="A104" s="49">
        <v>5.26</v>
      </c>
      <c r="B104" s="45"/>
      <c r="C104" s="43" t="s">
        <v>120</v>
      </c>
      <c r="D104" s="45" t="s">
        <v>96</v>
      </c>
      <c r="E104" s="30">
        <f>[1]DOQ!I347</f>
        <v>0</v>
      </c>
      <c r="F104" s="36"/>
      <c r="G104" s="16">
        <f t="shared" si="6"/>
        <v>0</v>
      </c>
    </row>
    <row r="105" spans="1:9" ht="15" hidden="1" x14ac:dyDescent="0.15">
      <c r="A105" s="49">
        <v>5.27</v>
      </c>
      <c r="B105" s="45"/>
      <c r="C105" s="43" t="s">
        <v>97</v>
      </c>
      <c r="D105" s="45" t="s">
        <v>94</v>
      </c>
      <c r="E105" s="30">
        <f>[1]DOQ!I348</f>
        <v>0</v>
      </c>
      <c r="F105" s="36"/>
      <c r="G105" s="16">
        <f t="shared" si="6"/>
        <v>0</v>
      </c>
    </row>
    <row r="106" spans="1:9" x14ac:dyDescent="0.15">
      <c r="A106" s="17"/>
      <c r="B106" s="13"/>
      <c r="C106" s="18"/>
      <c r="D106" s="13"/>
      <c r="E106" s="20"/>
      <c r="F106" s="15"/>
      <c r="G106" s="16"/>
    </row>
    <row r="107" spans="1:9" ht="15" x14ac:dyDescent="0.15">
      <c r="A107" s="5"/>
      <c r="B107" s="8"/>
      <c r="C107" s="19" t="s">
        <v>35</v>
      </c>
      <c r="D107" s="8"/>
      <c r="E107" s="20"/>
      <c r="F107" s="15"/>
      <c r="G107" s="21">
        <f>SUM(G58:G106)</f>
        <v>135538604.59797323</v>
      </c>
    </row>
    <row r="108" spans="1:9" ht="15" x14ac:dyDescent="0.15">
      <c r="A108" s="5" t="s">
        <v>121</v>
      </c>
      <c r="B108" s="8"/>
      <c r="C108" s="7" t="s">
        <v>122</v>
      </c>
      <c r="D108" s="8"/>
      <c r="E108" s="14"/>
      <c r="F108" s="15"/>
      <c r="G108" s="21"/>
    </row>
    <row r="109" spans="1:9" ht="60" x14ac:dyDescent="0.15">
      <c r="A109" s="17">
        <v>6.01</v>
      </c>
      <c r="B109" s="13">
        <v>803</v>
      </c>
      <c r="C109" s="18" t="s">
        <v>123</v>
      </c>
      <c r="D109" s="13" t="s">
        <v>58</v>
      </c>
      <c r="E109" s="14">
        <f>[1]DOQ!I356</f>
        <v>24978.359999999997</v>
      </c>
      <c r="F109" s="15">
        <f>'[2]Full Summary'!$D$321</f>
        <v>633</v>
      </c>
      <c r="G109" s="16">
        <f>E109*F109</f>
        <v>15811301.879999999</v>
      </c>
    </row>
    <row r="110" spans="1:9" ht="45" x14ac:dyDescent="0.15">
      <c r="A110" s="17">
        <f>A109+0.01</f>
        <v>6.02</v>
      </c>
      <c r="B110" s="13" t="s">
        <v>124</v>
      </c>
      <c r="C110" s="18" t="s">
        <v>125</v>
      </c>
      <c r="D110" s="50"/>
      <c r="E110" s="51"/>
      <c r="F110" s="15"/>
      <c r="G110" s="16"/>
    </row>
    <row r="111" spans="1:9" ht="15" x14ac:dyDescent="0.15">
      <c r="A111" s="17"/>
      <c r="B111" s="13" t="s">
        <v>126</v>
      </c>
      <c r="C111" s="18" t="s">
        <v>127</v>
      </c>
      <c r="D111" s="13" t="s">
        <v>15</v>
      </c>
      <c r="E111" s="14">
        <f>[1]DOQ!I358</f>
        <v>9</v>
      </c>
      <c r="F111" s="15">
        <f>'[2]Full Summary'!$D323</f>
        <v>4335</v>
      </c>
      <c r="G111" s="16">
        <f>E111*F111</f>
        <v>39015</v>
      </c>
    </row>
    <row r="112" spans="1:9" ht="15" x14ac:dyDescent="0.15">
      <c r="A112" s="17"/>
      <c r="B112" s="13" t="s">
        <v>128</v>
      </c>
      <c r="C112" s="18" t="s">
        <v>129</v>
      </c>
      <c r="D112" s="13" t="s">
        <v>15</v>
      </c>
      <c r="E112" s="14">
        <f>[1]DOQ!I359</f>
        <v>36</v>
      </c>
      <c r="F112" s="15">
        <f>'[2]Full Summary'!$D324</f>
        <v>2644</v>
      </c>
      <c r="G112" s="16">
        <f>E112*F112</f>
        <v>95184</v>
      </c>
    </row>
    <row r="113" spans="1:7" ht="15" x14ac:dyDescent="0.15">
      <c r="A113" s="17"/>
      <c r="B113" s="13" t="s">
        <v>130</v>
      </c>
      <c r="C113" s="18" t="s">
        <v>131</v>
      </c>
      <c r="D113" s="13" t="s">
        <v>15</v>
      </c>
      <c r="E113" s="14">
        <f>[1]DOQ!I360</f>
        <v>182</v>
      </c>
      <c r="F113" s="15">
        <f>'[2]Full Summary'!$D325</f>
        <v>691</v>
      </c>
      <c r="G113" s="16">
        <f>E113*F113</f>
        <v>125762</v>
      </c>
    </row>
    <row r="114" spans="1:7" ht="45" x14ac:dyDescent="0.15">
      <c r="A114" s="17">
        <f>A110+0.01</f>
        <v>6.0299999999999994</v>
      </c>
      <c r="B114" s="13">
        <v>806</v>
      </c>
      <c r="C114" s="18" t="s">
        <v>132</v>
      </c>
      <c r="D114" s="13" t="s">
        <v>15</v>
      </c>
      <c r="E114" s="14">
        <f>[1]DOQ!I361</f>
        <v>230</v>
      </c>
      <c r="F114" s="15">
        <f>'[2]Full Summary'!$D$327</f>
        <v>1252</v>
      </c>
      <c r="G114" s="16">
        <f>E114*F114</f>
        <v>287960</v>
      </c>
    </row>
    <row r="115" spans="1:7" ht="15" x14ac:dyDescent="0.15">
      <c r="A115" s="17">
        <f>A114+0.01</f>
        <v>6.0399999999999991</v>
      </c>
      <c r="B115" s="13"/>
      <c r="C115" s="18" t="s">
        <v>133</v>
      </c>
      <c r="D115" s="13"/>
      <c r="E115" s="22"/>
      <c r="F115" s="15"/>
      <c r="G115" s="16"/>
    </row>
    <row r="116" spans="1:7" ht="15" x14ac:dyDescent="0.15">
      <c r="A116" s="17"/>
      <c r="B116" s="13"/>
      <c r="C116" s="52" t="s">
        <v>134</v>
      </c>
      <c r="D116" s="13" t="s">
        <v>15</v>
      </c>
      <c r="E116" s="14">
        <f>[1]DOQ!I363</f>
        <v>21</v>
      </c>
      <c r="F116" s="15">
        <f>'[2]Full Summary'!$D$306</f>
        <v>2803</v>
      </c>
      <c r="G116" s="16">
        <f t="shared" ref="G116:G124" si="7">E116*F116</f>
        <v>58863</v>
      </c>
    </row>
    <row r="117" spans="1:7" ht="15" x14ac:dyDescent="0.15">
      <c r="A117" s="17"/>
      <c r="B117" s="13"/>
      <c r="C117" s="52" t="s">
        <v>135</v>
      </c>
      <c r="D117" s="13" t="s">
        <v>15</v>
      </c>
      <c r="E117" s="14">
        <f>[1]DOQ!I364</f>
        <v>45</v>
      </c>
      <c r="F117" s="15">
        <f>'[2]Full Summary'!$D$302</f>
        <v>2361</v>
      </c>
      <c r="G117" s="16">
        <f t="shared" si="7"/>
        <v>106245</v>
      </c>
    </row>
    <row r="118" spans="1:7" ht="15" x14ac:dyDescent="0.15">
      <c r="A118" s="17"/>
      <c r="B118" s="13"/>
      <c r="C118" s="52" t="s">
        <v>136</v>
      </c>
      <c r="D118" s="13" t="s">
        <v>15</v>
      </c>
      <c r="E118" s="14">
        <f>[1]DOQ!I365</f>
        <v>38</v>
      </c>
      <c r="F118" s="15">
        <f>'[2]Full Summary'!$D$304</f>
        <v>2346</v>
      </c>
      <c r="G118" s="16">
        <f t="shared" si="7"/>
        <v>89148</v>
      </c>
    </row>
    <row r="119" spans="1:7" ht="15" x14ac:dyDescent="0.15">
      <c r="A119" s="17"/>
      <c r="B119" s="13"/>
      <c r="C119" s="52" t="s">
        <v>137</v>
      </c>
      <c r="D119" s="13" t="s">
        <v>15</v>
      </c>
      <c r="E119" s="14">
        <f>[1]DOQ!I366</f>
        <v>59</v>
      </c>
      <c r="F119" s="15">
        <f>'[2]Full Summary'!$D$301</f>
        <v>2216</v>
      </c>
      <c r="G119" s="16">
        <f t="shared" si="7"/>
        <v>130744</v>
      </c>
    </row>
    <row r="120" spans="1:7" ht="15" x14ac:dyDescent="0.15">
      <c r="A120" s="17"/>
      <c r="B120" s="13"/>
      <c r="C120" s="52" t="s">
        <v>138</v>
      </c>
      <c r="D120" s="13" t="s">
        <v>15</v>
      </c>
      <c r="E120" s="14">
        <f>[1]DOQ!I367</f>
        <v>45</v>
      </c>
      <c r="F120" s="15">
        <f>'[2]Full Summary'!$D$308</f>
        <v>6307</v>
      </c>
      <c r="G120" s="16">
        <f t="shared" si="7"/>
        <v>283815</v>
      </c>
    </row>
    <row r="121" spans="1:7" ht="15" x14ac:dyDescent="0.15">
      <c r="A121" s="17"/>
      <c r="B121" s="13"/>
      <c r="C121" s="52" t="s">
        <v>139</v>
      </c>
      <c r="D121" s="13" t="s">
        <v>15</v>
      </c>
      <c r="E121" s="14">
        <v>4</v>
      </c>
      <c r="F121" s="15">
        <f>'[2]Full Summary'!$D$310</f>
        <v>106401</v>
      </c>
      <c r="G121" s="16">
        <f t="shared" si="7"/>
        <v>425604</v>
      </c>
    </row>
    <row r="122" spans="1:7" ht="15" x14ac:dyDescent="0.15">
      <c r="A122" s="17">
        <f>A115+0.01</f>
        <v>6.0499999999999989</v>
      </c>
      <c r="B122" s="13"/>
      <c r="C122" s="18" t="s">
        <v>140</v>
      </c>
      <c r="D122" s="13" t="s">
        <v>15</v>
      </c>
      <c r="E122" s="14">
        <f>[1]DOQ!I368</f>
        <v>4826</v>
      </c>
      <c r="F122" s="15">
        <f>'[2]Full Summary'!$D$362</f>
        <v>289</v>
      </c>
      <c r="G122" s="16">
        <f t="shared" si="7"/>
        <v>1394714</v>
      </c>
    </row>
    <row r="123" spans="1:7" ht="15" x14ac:dyDescent="0.15">
      <c r="A123" s="17">
        <f>A122+0.01</f>
        <v>6.0599999999999987</v>
      </c>
      <c r="B123" s="13"/>
      <c r="C123" s="18" t="s">
        <v>141</v>
      </c>
      <c r="D123" s="13" t="s">
        <v>15</v>
      </c>
      <c r="E123" s="14">
        <f>[1]DOQ!I369</f>
        <v>0</v>
      </c>
      <c r="F123" s="15">
        <f>'[2]Full Summary'!$D$326</f>
        <v>694</v>
      </c>
      <c r="G123" s="16">
        <f t="shared" si="7"/>
        <v>0</v>
      </c>
    </row>
    <row r="124" spans="1:7" ht="30" x14ac:dyDescent="0.15">
      <c r="A124" s="17">
        <f>A123+0.01</f>
        <v>6.0699999999999985</v>
      </c>
      <c r="B124" s="13"/>
      <c r="C124" s="53" t="s">
        <v>142</v>
      </c>
      <c r="D124" s="13" t="s">
        <v>96</v>
      </c>
      <c r="E124" s="14">
        <f>[1]DOQ!I370</f>
        <v>11400</v>
      </c>
      <c r="F124" s="15">
        <f>'[2]Full Summary'!$D$292</f>
        <v>405</v>
      </c>
      <c r="G124" s="16">
        <f t="shared" si="7"/>
        <v>4617000</v>
      </c>
    </row>
    <row r="125" spans="1:7" ht="15" x14ac:dyDescent="0.15">
      <c r="A125" s="54"/>
      <c r="B125" s="8"/>
      <c r="C125" s="19" t="s">
        <v>35</v>
      </c>
      <c r="D125" s="55"/>
      <c r="E125" s="20"/>
      <c r="F125" s="15"/>
      <c r="G125" s="21">
        <f>SUM(G109:G124)</f>
        <v>23465355.879999999</v>
      </c>
    </row>
    <row r="126" spans="1:7" ht="15" x14ac:dyDescent="0.15">
      <c r="A126" s="54" t="s">
        <v>143</v>
      </c>
      <c r="B126" s="8"/>
      <c r="C126" s="7" t="s">
        <v>144</v>
      </c>
      <c r="D126" s="8"/>
      <c r="E126" s="14"/>
      <c r="F126" s="15"/>
      <c r="G126" s="21"/>
    </row>
    <row r="127" spans="1:7" ht="30" x14ac:dyDescent="0.15">
      <c r="A127" s="17">
        <v>7.01</v>
      </c>
      <c r="B127" s="13">
        <v>304</v>
      </c>
      <c r="C127" s="18" t="s">
        <v>145</v>
      </c>
      <c r="D127" s="50"/>
      <c r="E127" s="56"/>
      <c r="F127" s="15"/>
      <c r="G127" s="16"/>
    </row>
    <row r="128" spans="1:7" ht="30" x14ac:dyDescent="0.15">
      <c r="A128" s="17"/>
      <c r="B128" s="13"/>
      <c r="C128" s="18" t="s">
        <v>146</v>
      </c>
      <c r="D128" s="13" t="s">
        <v>21</v>
      </c>
      <c r="E128" s="14">
        <f>[1]DOQ!I374</f>
        <v>42095</v>
      </c>
      <c r="F128" s="15">
        <f>'[2]Full Summary'!$D$105</f>
        <v>81</v>
      </c>
      <c r="G128" s="16">
        <f>E128*F128</f>
        <v>3409695</v>
      </c>
    </row>
    <row r="129" spans="1:7" ht="15" x14ac:dyDescent="0.15">
      <c r="A129" s="17"/>
      <c r="B129" s="13"/>
      <c r="C129" s="18" t="s">
        <v>147</v>
      </c>
      <c r="D129" s="13" t="s">
        <v>21</v>
      </c>
      <c r="E129" s="51"/>
      <c r="F129" s="15"/>
      <c r="G129" s="16"/>
    </row>
    <row r="130" spans="1:7" ht="15" x14ac:dyDescent="0.15">
      <c r="A130" s="17"/>
      <c r="B130" s="13"/>
      <c r="C130" s="18" t="s">
        <v>148</v>
      </c>
      <c r="D130" s="13" t="s">
        <v>21</v>
      </c>
      <c r="E130" s="51"/>
      <c r="F130" s="15"/>
      <c r="G130" s="16"/>
    </row>
    <row r="131" spans="1:7" ht="15" x14ac:dyDescent="0.15">
      <c r="A131" s="17"/>
      <c r="B131" s="13"/>
      <c r="C131" s="18" t="s">
        <v>149</v>
      </c>
      <c r="D131" s="13" t="s">
        <v>21</v>
      </c>
      <c r="E131" s="51"/>
      <c r="F131" s="15"/>
      <c r="G131" s="16"/>
    </row>
    <row r="132" spans="1:7" ht="60" x14ac:dyDescent="0.15">
      <c r="A132" s="17">
        <f>A127+0.01</f>
        <v>7.02</v>
      </c>
      <c r="B132" s="13">
        <v>1400</v>
      </c>
      <c r="C132" s="18" t="s">
        <v>150</v>
      </c>
      <c r="D132" s="13" t="s">
        <v>21</v>
      </c>
      <c r="E132" s="14"/>
      <c r="F132" s="15"/>
      <c r="G132" s="16"/>
    </row>
    <row r="133" spans="1:7" x14ac:dyDescent="0.15">
      <c r="A133" s="57"/>
      <c r="B133" s="58"/>
      <c r="C133" s="58" t="s">
        <v>151</v>
      </c>
      <c r="D133" s="13"/>
      <c r="E133" s="14"/>
      <c r="F133" s="15"/>
      <c r="G133" s="16"/>
    </row>
    <row r="134" spans="1:7" ht="30" x14ac:dyDescent="0.15">
      <c r="A134" s="17">
        <f>A132+0.01</f>
        <v>7.0299999999999994</v>
      </c>
      <c r="B134" s="13">
        <v>304</v>
      </c>
      <c r="C134" s="18" t="s">
        <v>152</v>
      </c>
      <c r="D134" s="50"/>
      <c r="E134" s="56"/>
      <c r="F134" s="15"/>
      <c r="G134" s="16"/>
    </row>
    <row r="135" spans="1:7" ht="30" x14ac:dyDescent="0.15">
      <c r="A135" s="17"/>
      <c r="B135" s="13"/>
      <c r="C135" s="18" t="s">
        <v>146</v>
      </c>
      <c r="D135" s="13" t="s">
        <v>21</v>
      </c>
      <c r="E135" s="14"/>
      <c r="F135" s="15"/>
      <c r="G135" s="16"/>
    </row>
    <row r="136" spans="1:7" ht="15" x14ac:dyDescent="0.15">
      <c r="A136" s="17"/>
      <c r="B136" s="13"/>
      <c r="C136" s="18" t="s">
        <v>147</v>
      </c>
      <c r="D136" s="13" t="s">
        <v>21</v>
      </c>
      <c r="E136" s="51"/>
      <c r="F136" s="15"/>
      <c r="G136" s="16"/>
    </row>
    <row r="137" spans="1:7" ht="15" x14ac:dyDescent="0.15">
      <c r="A137" s="17"/>
      <c r="B137" s="13"/>
      <c r="C137" s="18" t="s">
        <v>148</v>
      </c>
      <c r="D137" s="13" t="s">
        <v>21</v>
      </c>
      <c r="E137" s="51"/>
      <c r="F137" s="15"/>
      <c r="G137" s="16"/>
    </row>
    <row r="138" spans="1:7" ht="15" x14ac:dyDescent="0.15">
      <c r="A138" s="17"/>
      <c r="B138" s="13"/>
      <c r="C138" s="18" t="s">
        <v>149</v>
      </c>
      <c r="D138" s="13" t="s">
        <v>21</v>
      </c>
      <c r="E138" s="51"/>
      <c r="F138" s="15"/>
      <c r="G138" s="16"/>
    </row>
    <row r="139" spans="1:7" ht="75" x14ac:dyDescent="0.15">
      <c r="A139" s="17">
        <f>A134+0.01</f>
        <v>7.0399999999999991</v>
      </c>
      <c r="B139" s="13" t="s">
        <v>153</v>
      </c>
      <c r="C139" s="18" t="s">
        <v>154</v>
      </c>
      <c r="D139" s="13" t="s">
        <v>21</v>
      </c>
      <c r="E139" s="14">
        <f>[1]Drain!C5</f>
        <v>2318</v>
      </c>
      <c r="F139" s="15">
        <f>'[2]Full Summary'!$D$484</f>
        <v>6797</v>
      </c>
      <c r="G139" s="16">
        <f>E139*F139</f>
        <v>15755446</v>
      </c>
    </row>
    <row r="140" spans="1:7" ht="60" x14ac:dyDescent="0.15">
      <c r="A140" s="17">
        <f>A139+0.01</f>
        <v>7.0499999999999989</v>
      </c>
      <c r="B140" s="13" t="s">
        <v>155</v>
      </c>
      <c r="C140" s="18" t="s">
        <v>156</v>
      </c>
      <c r="D140" s="13" t="s">
        <v>21</v>
      </c>
      <c r="E140" s="14">
        <f>[1]Drain!C6+[1]Drain!C7+[1]Drain!C8</f>
        <v>7024.875</v>
      </c>
      <c r="F140" s="15">
        <f>'[2]Full Summary'!$D$494</f>
        <v>10570</v>
      </c>
      <c r="G140" s="16">
        <f>E140*F140</f>
        <v>74252928.75</v>
      </c>
    </row>
    <row r="141" spans="1:7" ht="75" x14ac:dyDescent="0.15">
      <c r="A141" s="17">
        <f t="shared" ref="A141:A149" si="8">A140+0.01</f>
        <v>7.0599999999999987</v>
      </c>
      <c r="B141" s="13" t="s">
        <v>155</v>
      </c>
      <c r="C141" s="18" t="s">
        <v>157</v>
      </c>
      <c r="D141" s="13" t="s">
        <v>21</v>
      </c>
      <c r="E141" s="14"/>
      <c r="F141" s="15"/>
      <c r="G141" s="16"/>
    </row>
    <row r="142" spans="1:7" ht="45" x14ac:dyDescent="0.15">
      <c r="A142" s="17">
        <f t="shared" si="8"/>
        <v>7.0699999999999985</v>
      </c>
      <c r="B142" s="13">
        <v>1600</v>
      </c>
      <c r="C142" s="18" t="s">
        <v>158</v>
      </c>
      <c r="D142" s="50" t="s">
        <v>88</v>
      </c>
      <c r="E142" s="14">
        <f>[1]Drain!C9</f>
        <v>386</v>
      </c>
      <c r="F142" s="15">
        <f>'[2]Full Summary'!$D$1084</f>
        <v>58779</v>
      </c>
      <c r="G142" s="16">
        <f>E142*F142</f>
        <v>22688694</v>
      </c>
    </row>
    <row r="143" spans="1:7" ht="75" x14ac:dyDescent="0.15">
      <c r="A143" s="17">
        <f t="shared" si="8"/>
        <v>7.0799999999999983</v>
      </c>
      <c r="B143" s="13" t="s">
        <v>159</v>
      </c>
      <c r="C143" s="18" t="s">
        <v>160</v>
      </c>
      <c r="D143" s="13" t="s">
        <v>21</v>
      </c>
      <c r="E143" s="14"/>
      <c r="F143" s="15"/>
      <c r="G143" s="16"/>
    </row>
    <row r="144" spans="1:7" ht="45" x14ac:dyDescent="0.15">
      <c r="A144" s="17">
        <f t="shared" si="8"/>
        <v>7.0899999999999981</v>
      </c>
      <c r="B144" s="13">
        <v>2700</v>
      </c>
      <c r="C144" s="18" t="s">
        <v>161</v>
      </c>
      <c r="D144" s="13" t="s">
        <v>15</v>
      </c>
      <c r="E144" s="14"/>
      <c r="F144" s="15"/>
      <c r="G144" s="16"/>
    </row>
    <row r="145" spans="1:9" ht="60" x14ac:dyDescent="0.15">
      <c r="A145" s="17">
        <f t="shared" si="8"/>
        <v>7.0999999999999979</v>
      </c>
      <c r="B145" s="13">
        <v>1400</v>
      </c>
      <c r="C145" s="18" t="s">
        <v>162</v>
      </c>
      <c r="D145" s="13" t="s">
        <v>21</v>
      </c>
      <c r="E145" s="14"/>
      <c r="F145" s="15"/>
      <c r="G145" s="16"/>
    </row>
    <row r="146" spans="1:9" ht="60" x14ac:dyDescent="0.15">
      <c r="A146" s="17">
        <f>A127+0.01</f>
        <v>7.02</v>
      </c>
      <c r="B146" s="13">
        <v>2500</v>
      </c>
      <c r="C146" s="18" t="s">
        <v>163</v>
      </c>
      <c r="D146" s="13" t="s">
        <v>21</v>
      </c>
      <c r="E146" s="14">
        <f>[1]DOQ!I392</f>
        <v>19421.670719312489</v>
      </c>
      <c r="F146" s="15">
        <f>'[2]Full Summary'!$D$1118</f>
        <v>1837</v>
      </c>
      <c r="G146" s="16">
        <f t="shared" ref="G146:G156" si="9">E146*F146</f>
        <v>35677609.111377046</v>
      </c>
    </row>
    <row r="147" spans="1:9" ht="30" x14ac:dyDescent="0.15">
      <c r="A147" s="17">
        <f t="shared" si="8"/>
        <v>7.0299999999999994</v>
      </c>
      <c r="B147" s="13"/>
      <c r="C147" s="18" t="s">
        <v>164</v>
      </c>
      <c r="D147" s="13" t="s">
        <v>26</v>
      </c>
      <c r="E147" s="14">
        <f>[1]DOQ!I393</f>
        <v>3412.6712947843384</v>
      </c>
      <c r="F147" s="15">
        <v>700</v>
      </c>
      <c r="G147" s="16">
        <f t="shared" si="9"/>
        <v>2388869.9063490368</v>
      </c>
    </row>
    <row r="148" spans="1:9" ht="30" x14ac:dyDescent="0.15">
      <c r="A148" s="17">
        <f t="shared" si="8"/>
        <v>7.0399999999999991</v>
      </c>
      <c r="B148" s="13"/>
      <c r="C148" s="18" t="s">
        <v>165</v>
      </c>
      <c r="D148" s="13" t="s">
        <v>15</v>
      </c>
      <c r="E148" s="14">
        <f>[1]DOQ!I394</f>
        <v>343</v>
      </c>
      <c r="F148" s="15">
        <v>20000</v>
      </c>
      <c r="G148" s="16">
        <f t="shared" si="9"/>
        <v>6860000</v>
      </c>
    </row>
    <row r="149" spans="1:9" ht="30" x14ac:dyDescent="0.15">
      <c r="A149" s="17">
        <f t="shared" si="8"/>
        <v>7.0499999999999989</v>
      </c>
      <c r="B149" s="13"/>
      <c r="C149" s="18" t="s">
        <v>166</v>
      </c>
      <c r="D149" s="13" t="s">
        <v>21</v>
      </c>
      <c r="E149" s="14">
        <f>[1]DOQ!I395</f>
        <v>9710.8353596562447</v>
      </c>
      <c r="F149" s="15">
        <f>+'[2]13'!$H$686</f>
        <v>1340</v>
      </c>
      <c r="G149" s="16">
        <f t="shared" si="9"/>
        <v>13012519.381939368</v>
      </c>
    </row>
    <row r="150" spans="1:9" ht="30" x14ac:dyDescent="0.15">
      <c r="A150" s="17">
        <f>A149+0.01</f>
        <v>7.0599999999999987</v>
      </c>
      <c r="B150" s="13">
        <v>307</v>
      </c>
      <c r="C150" s="18" t="s">
        <v>167</v>
      </c>
      <c r="D150" s="13" t="s">
        <v>58</v>
      </c>
      <c r="E150" s="14">
        <f>[1]DOQ!I396</f>
        <v>238912.93835008197</v>
      </c>
      <c r="F150" s="15">
        <f>'[2]Full Summary'!$D$428</f>
        <v>26</v>
      </c>
      <c r="G150" s="16">
        <f t="shared" si="9"/>
        <v>6211736.3971021315</v>
      </c>
      <c r="I150" s="4">
        <f>G150/10^7</f>
        <v>0.62117363971021311</v>
      </c>
    </row>
    <row r="151" spans="1:9" ht="90" x14ac:dyDescent="0.15">
      <c r="A151" s="17">
        <f>A150+0.01</f>
        <v>7.0699999999999985</v>
      </c>
      <c r="B151" s="13"/>
      <c r="C151" s="18" t="s">
        <v>168</v>
      </c>
      <c r="D151" s="13" t="s">
        <v>26</v>
      </c>
      <c r="E151" s="14">
        <f>[1]DOQ!I397</f>
        <v>6795.3299999999872</v>
      </c>
      <c r="F151" s="15">
        <f>'[2]Full Summary'!$D$336</f>
        <v>2918</v>
      </c>
      <c r="G151" s="16">
        <f t="shared" si="9"/>
        <v>19828772.939999964</v>
      </c>
      <c r="I151" s="4">
        <f>G151/10^7</f>
        <v>1.9828772939999963</v>
      </c>
    </row>
    <row r="152" spans="1:9" ht="107.25" hidden="1" customHeight="1" x14ac:dyDescent="0.15">
      <c r="A152" s="17">
        <f>A151+0.01</f>
        <v>7.0799999999999983</v>
      </c>
      <c r="B152" s="13"/>
      <c r="C152" s="59" t="str">
        <f>[1]DOQ!B397</f>
        <v xml:space="preserve">Providing and erecting a single side single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 </v>
      </c>
      <c r="D152" s="13" t="s">
        <v>26</v>
      </c>
      <c r="E152" s="14"/>
      <c r="F152" s="15"/>
      <c r="G152" s="16">
        <f t="shared" si="9"/>
        <v>0</v>
      </c>
    </row>
    <row r="153" spans="1:9" ht="59.25" customHeight="1" x14ac:dyDescent="0.15">
      <c r="A153" s="17">
        <f>A152+0.01</f>
        <v>7.0899999999999981</v>
      </c>
      <c r="B153" s="13"/>
      <c r="C153" s="18" t="s">
        <v>169</v>
      </c>
      <c r="D153" s="13" t="s">
        <v>26</v>
      </c>
      <c r="E153" s="14">
        <f>[1]DOQ!I399</f>
        <v>6600.3299999999872</v>
      </c>
      <c r="F153" s="15">
        <f>'[2]Full Summary'!$D$292</f>
        <v>405</v>
      </c>
      <c r="G153" s="16">
        <f t="shared" si="9"/>
        <v>2673133.6499999948</v>
      </c>
    </row>
    <row r="154" spans="1:9" ht="84" customHeight="1" x14ac:dyDescent="0.15">
      <c r="A154" s="17"/>
      <c r="B154" s="13"/>
      <c r="C154" s="18" t="str">
        <f>[1]DOQ!B401</f>
        <v>Providing and constructing RCC crash barrier M-40 grade including centering, shuttering and reinforcement  (Concrete 0.3 Cum/Rmt and steel 28 Kg/Rmt); including heavy class pipe on top of crash barrier fixed with Mild Steel plate at 1000 mm c/c. including base plate fixed with U bolts, nuts &amp; washers; including painting etc. all complete as per approved Drawings and Technical Specifications.</v>
      </c>
      <c r="D154" s="13" t="s">
        <v>26</v>
      </c>
      <c r="E154" s="14">
        <f>[1]DOQ!I401</f>
        <v>0</v>
      </c>
      <c r="F154" s="60">
        <f>F233</f>
        <v>4984</v>
      </c>
      <c r="G154" s="16">
        <f t="shared" si="9"/>
        <v>0</v>
      </c>
    </row>
    <row r="155" spans="1:9" ht="15" x14ac:dyDescent="0.15">
      <c r="A155" s="17"/>
      <c r="B155" s="13"/>
      <c r="C155" s="18" t="s">
        <v>170</v>
      </c>
      <c r="D155" s="13" t="s">
        <v>26</v>
      </c>
      <c r="E155" s="14">
        <f>[1]DOQ!I402</f>
        <v>0</v>
      </c>
      <c r="F155" s="60">
        <v>9000</v>
      </c>
      <c r="G155" s="16">
        <f t="shared" si="9"/>
        <v>0</v>
      </c>
    </row>
    <row r="156" spans="1:9" ht="53.25" customHeight="1" x14ac:dyDescent="0.15">
      <c r="A156" s="17"/>
      <c r="B156" s="13"/>
      <c r="C156" s="61" t="s">
        <v>171</v>
      </c>
      <c r="D156" s="13" t="s">
        <v>58</v>
      </c>
      <c r="E156" s="14">
        <f>[1]DOQ!I403</f>
        <v>0</v>
      </c>
      <c r="F156" s="60">
        <f>F189</f>
        <v>8981</v>
      </c>
      <c r="G156" s="16">
        <f t="shared" si="9"/>
        <v>0</v>
      </c>
    </row>
    <row r="157" spans="1:9" ht="15" x14ac:dyDescent="0.15">
      <c r="A157" s="54"/>
      <c r="B157" s="8"/>
      <c r="C157" s="19" t="s">
        <v>35</v>
      </c>
      <c r="D157" s="55"/>
      <c r="E157" s="56"/>
      <c r="F157" s="15"/>
      <c r="G157" s="21">
        <f>SUM(G127:G156)</f>
        <v>202759405.13676757</v>
      </c>
    </row>
    <row r="158" spans="1:9" ht="15" x14ac:dyDescent="0.15">
      <c r="A158" s="54" t="s">
        <v>172</v>
      </c>
      <c r="B158" s="8"/>
      <c r="C158" s="7" t="s">
        <v>173</v>
      </c>
      <c r="D158" s="7"/>
      <c r="E158" s="14"/>
      <c r="F158" s="15"/>
      <c r="G158" s="21"/>
    </row>
    <row r="159" spans="1:9" ht="60" x14ac:dyDescent="0.15">
      <c r="A159" s="5">
        <v>8</v>
      </c>
      <c r="B159" s="8">
        <v>304</v>
      </c>
      <c r="C159" s="18" t="s">
        <v>174</v>
      </c>
      <c r="D159" s="50"/>
      <c r="E159" s="14"/>
      <c r="F159" s="62"/>
      <c r="G159" s="16"/>
    </row>
    <row r="160" spans="1:9" ht="15" x14ac:dyDescent="0.15">
      <c r="A160" s="17"/>
      <c r="B160" s="13"/>
      <c r="C160" s="18" t="s">
        <v>175</v>
      </c>
      <c r="D160" s="13" t="s">
        <v>21</v>
      </c>
      <c r="E160" s="14"/>
      <c r="F160" s="62"/>
      <c r="G160" s="21"/>
    </row>
    <row r="161" spans="1:9" ht="16" x14ac:dyDescent="0.15">
      <c r="A161" s="17"/>
      <c r="B161" s="13"/>
      <c r="C161" s="18" t="s">
        <v>176</v>
      </c>
      <c r="D161" s="13" t="s">
        <v>21</v>
      </c>
      <c r="E161" s="14">
        <f>[1]DOQ!I407</f>
        <v>17904.21587119349</v>
      </c>
      <c r="F161" s="63">
        <f>'[2]Full Summary'!$D$452</f>
        <v>163</v>
      </c>
      <c r="G161" s="16">
        <f>E161*F161</f>
        <v>2918387.1870045387</v>
      </c>
      <c r="I161" s="4">
        <f>'[2]Full Summary'!$G$112</f>
        <v>0</v>
      </c>
    </row>
    <row r="162" spans="1:9" ht="15" x14ac:dyDescent="0.15">
      <c r="A162" s="17"/>
      <c r="B162" s="13"/>
      <c r="C162" s="18" t="s">
        <v>177</v>
      </c>
      <c r="D162" s="13" t="s">
        <v>21</v>
      </c>
      <c r="E162" s="14">
        <f>[1]DOQ!I408</f>
        <v>0</v>
      </c>
      <c r="F162" s="62"/>
      <c r="G162" s="16">
        <f t="shared" ref="G162:G228" si="10">E162*F162</f>
        <v>0</v>
      </c>
    </row>
    <row r="163" spans="1:9" ht="15" x14ac:dyDescent="0.15">
      <c r="A163" s="17"/>
      <c r="B163" s="13"/>
      <c r="C163" s="18" t="s">
        <v>149</v>
      </c>
      <c r="D163" s="13" t="s">
        <v>21</v>
      </c>
      <c r="E163" s="14">
        <f>[1]DOQ!I409</f>
        <v>0</v>
      </c>
      <c r="F163" s="62"/>
      <c r="G163" s="16">
        <f t="shared" si="10"/>
        <v>0</v>
      </c>
    </row>
    <row r="164" spans="1:9" ht="75" x14ac:dyDescent="0.15">
      <c r="A164" s="17">
        <f>A159+0.01</f>
        <v>8.01</v>
      </c>
      <c r="B164" s="13">
        <v>304</v>
      </c>
      <c r="C164" s="18" t="s">
        <v>178</v>
      </c>
      <c r="D164" s="13" t="s">
        <v>21</v>
      </c>
      <c r="E164" s="14">
        <f>[1]DOQ!I410</f>
        <v>0</v>
      </c>
      <c r="F164" s="62"/>
      <c r="G164" s="16">
        <f t="shared" si="10"/>
        <v>0</v>
      </c>
    </row>
    <row r="165" spans="1:9" ht="60" x14ac:dyDescent="0.15">
      <c r="A165" s="17">
        <f>A164+0.01</f>
        <v>8.02</v>
      </c>
      <c r="B165" s="13" t="s">
        <v>179</v>
      </c>
      <c r="C165" s="18" t="s">
        <v>180</v>
      </c>
      <c r="D165" s="13" t="s">
        <v>21</v>
      </c>
      <c r="E165" s="14">
        <f>[1]DOQ!I411</f>
        <v>925.21240301872376</v>
      </c>
      <c r="F165" s="63">
        <f>'[2]Full Summary'!$D$1092</f>
        <v>6536</v>
      </c>
      <c r="G165" s="16">
        <f t="shared" si="10"/>
        <v>6047188.2661303785</v>
      </c>
    </row>
    <row r="166" spans="1:9" ht="51" x14ac:dyDescent="0.15">
      <c r="A166" s="17" t="s">
        <v>181</v>
      </c>
      <c r="B166" s="13"/>
      <c r="C166" s="64" t="s">
        <v>182</v>
      </c>
      <c r="D166" s="13" t="s">
        <v>21</v>
      </c>
      <c r="E166" s="14">
        <f>[1]DOQ!I412</f>
        <v>260</v>
      </c>
      <c r="F166" s="63">
        <f>'[2]Full Summary'!$D$1092</f>
        <v>6536</v>
      </c>
      <c r="G166" s="16">
        <f t="shared" si="10"/>
        <v>1699360</v>
      </c>
    </row>
    <row r="167" spans="1:9" ht="60" x14ac:dyDescent="0.15">
      <c r="A167" s="17">
        <f>A165+0.01</f>
        <v>8.0299999999999994</v>
      </c>
      <c r="B167" s="13" t="s">
        <v>183</v>
      </c>
      <c r="C167" s="18" t="s">
        <v>184</v>
      </c>
      <c r="D167" s="13" t="s">
        <v>21</v>
      </c>
      <c r="E167" s="14">
        <f>[1]DOQ!I413</f>
        <v>0</v>
      </c>
      <c r="F167" s="62"/>
      <c r="G167" s="16">
        <f t="shared" si="10"/>
        <v>0</v>
      </c>
    </row>
    <row r="168" spans="1:9" ht="60" x14ac:dyDescent="0.15">
      <c r="A168" s="17">
        <f>A167+0.01</f>
        <v>8.0399999999999991</v>
      </c>
      <c r="B168" s="13" t="s">
        <v>185</v>
      </c>
      <c r="C168" s="18" t="s">
        <v>186</v>
      </c>
      <c r="D168" s="50"/>
      <c r="E168" s="14">
        <f>[1]DOQ!I414</f>
        <v>0</v>
      </c>
      <c r="F168" s="62"/>
      <c r="G168" s="16">
        <f t="shared" si="10"/>
        <v>0</v>
      </c>
    </row>
    <row r="169" spans="1:9" ht="15" x14ac:dyDescent="0.15">
      <c r="A169" s="17"/>
      <c r="B169" s="13"/>
      <c r="C169" s="18" t="s">
        <v>187</v>
      </c>
      <c r="D169" s="13" t="s">
        <v>21</v>
      </c>
      <c r="E169" s="14">
        <f>[1]DOQ!I415</f>
        <v>589.40337119052936</v>
      </c>
      <c r="F169" s="65">
        <f>'[2]Full Summary'!$D$485</f>
        <v>7202</v>
      </c>
      <c r="G169" s="16">
        <f t="shared" si="10"/>
        <v>4244883.0793141928</v>
      </c>
    </row>
    <row r="170" spans="1:9" ht="15" x14ac:dyDescent="0.15">
      <c r="A170" s="17"/>
      <c r="B170" s="13"/>
      <c r="C170" s="18" t="s">
        <v>188</v>
      </c>
      <c r="D170" s="13" t="s">
        <v>21</v>
      </c>
      <c r="E170" s="14">
        <f>[1]DOQ!I416</f>
        <v>0</v>
      </c>
      <c r="F170" s="62"/>
      <c r="G170" s="16">
        <f t="shared" si="10"/>
        <v>0</v>
      </c>
    </row>
    <row r="171" spans="1:9" ht="60" x14ac:dyDescent="0.15">
      <c r="A171" s="17">
        <f>A168+0.01</f>
        <v>8.0499999999999989</v>
      </c>
      <c r="B171" s="13" t="s">
        <v>179</v>
      </c>
      <c r="C171" s="18" t="s">
        <v>189</v>
      </c>
      <c r="D171" s="50"/>
      <c r="E171" s="14">
        <f>[1]DOQ!I417</f>
        <v>0</v>
      </c>
      <c r="F171" s="62"/>
      <c r="G171" s="16">
        <f t="shared" si="10"/>
        <v>0</v>
      </c>
    </row>
    <row r="172" spans="1:9" ht="15" x14ac:dyDescent="0.15">
      <c r="A172" s="17"/>
      <c r="B172" s="13"/>
      <c r="C172" s="18" t="s">
        <v>190</v>
      </c>
      <c r="D172" s="13" t="s">
        <v>21</v>
      </c>
      <c r="E172" s="14">
        <f>[1]DOQ!I418</f>
        <v>0</v>
      </c>
      <c r="F172" s="62"/>
      <c r="G172" s="16">
        <f t="shared" si="10"/>
        <v>0</v>
      </c>
    </row>
    <row r="173" spans="1:9" ht="15" x14ac:dyDescent="0.15">
      <c r="A173" s="17"/>
      <c r="B173" s="13"/>
      <c r="C173" s="18" t="s">
        <v>191</v>
      </c>
      <c r="D173" s="13" t="s">
        <v>21</v>
      </c>
      <c r="E173" s="14">
        <f>[1]DOQ!I419</f>
        <v>60</v>
      </c>
      <c r="F173" s="66">
        <f>'[2]Full Summary'!$D$494</f>
        <v>10570</v>
      </c>
      <c r="G173" s="16">
        <f t="shared" si="10"/>
        <v>634200</v>
      </c>
    </row>
    <row r="174" spans="1:9" ht="15" x14ac:dyDescent="0.15">
      <c r="A174" s="17"/>
      <c r="B174" s="13"/>
      <c r="C174" s="18" t="s">
        <v>192</v>
      </c>
      <c r="D174" s="13" t="s">
        <v>21</v>
      </c>
      <c r="E174" s="14">
        <f>[1]DOQ!I420</f>
        <v>0</v>
      </c>
      <c r="F174" s="62"/>
      <c r="G174" s="16">
        <f t="shared" si="10"/>
        <v>0</v>
      </c>
    </row>
    <row r="175" spans="1:9" ht="15" x14ac:dyDescent="0.15">
      <c r="A175" s="17"/>
      <c r="B175" s="13"/>
      <c r="C175" s="18" t="s">
        <v>193</v>
      </c>
      <c r="D175" s="13" t="s">
        <v>21</v>
      </c>
      <c r="E175" s="14">
        <f>[1]DOQ!I421</f>
        <v>4000.1216346109113</v>
      </c>
      <c r="F175" s="65">
        <f>'[2]Full Summary'!$D$503</f>
        <v>10625</v>
      </c>
      <c r="G175" s="16">
        <f t="shared" si="10"/>
        <v>42501292.367740929</v>
      </c>
    </row>
    <row r="176" spans="1:9" ht="15" x14ac:dyDescent="0.15">
      <c r="A176" s="17"/>
      <c r="B176" s="13"/>
      <c r="C176" s="18" t="s">
        <v>194</v>
      </c>
      <c r="D176" s="13" t="s">
        <v>21</v>
      </c>
      <c r="E176" s="14">
        <f>[1]DOQ!I422</f>
        <v>0</v>
      </c>
      <c r="F176" s="62"/>
      <c r="G176" s="16">
        <f t="shared" si="10"/>
        <v>0</v>
      </c>
    </row>
    <row r="177" spans="1:7" ht="60" x14ac:dyDescent="0.15">
      <c r="A177" s="17">
        <f>A171+0.01</f>
        <v>8.0599999999999987</v>
      </c>
      <c r="B177" s="13" t="s">
        <v>179</v>
      </c>
      <c r="C177" s="18" t="s">
        <v>195</v>
      </c>
      <c r="D177" s="50"/>
      <c r="E177" s="14">
        <f>[1]DOQ!I423</f>
        <v>0</v>
      </c>
      <c r="F177" s="62"/>
      <c r="G177" s="16">
        <f t="shared" si="10"/>
        <v>0</v>
      </c>
    </row>
    <row r="178" spans="1:7" ht="15" x14ac:dyDescent="0.15">
      <c r="A178" s="17"/>
      <c r="B178" s="13"/>
      <c r="C178" s="18" t="s">
        <v>196</v>
      </c>
      <c r="D178" s="13" t="s">
        <v>21</v>
      </c>
      <c r="E178" s="14">
        <f>[1]DOQ!I424</f>
        <v>0</v>
      </c>
      <c r="F178" s="62"/>
      <c r="G178" s="16">
        <f t="shared" si="10"/>
        <v>0</v>
      </c>
    </row>
    <row r="179" spans="1:7" ht="15" x14ac:dyDescent="0.15">
      <c r="A179" s="17"/>
      <c r="B179" s="13"/>
      <c r="C179" s="18" t="s">
        <v>197</v>
      </c>
      <c r="D179" s="13" t="s">
        <v>21</v>
      </c>
      <c r="E179" s="14">
        <f>[1]DOQ!I425</f>
        <v>0</v>
      </c>
      <c r="F179" s="62"/>
      <c r="G179" s="16">
        <f t="shared" si="10"/>
        <v>0</v>
      </c>
    </row>
    <row r="180" spans="1:7" ht="75" x14ac:dyDescent="0.15">
      <c r="A180" s="17">
        <f>A177+0.01</f>
        <v>8.0699999999999985</v>
      </c>
      <c r="B180" s="13" t="s">
        <v>155</v>
      </c>
      <c r="C180" s="18" t="s">
        <v>198</v>
      </c>
      <c r="D180" s="50"/>
      <c r="E180" s="14">
        <f>[1]DOQ!I426</f>
        <v>0</v>
      </c>
      <c r="F180" s="62"/>
      <c r="G180" s="16">
        <f t="shared" si="10"/>
        <v>0</v>
      </c>
    </row>
    <row r="181" spans="1:7" ht="15" x14ac:dyDescent="0.15">
      <c r="A181" s="17"/>
      <c r="B181" s="13"/>
      <c r="C181" s="18" t="s">
        <v>190</v>
      </c>
      <c r="D181" s="13" t="s">
        <v>21</v>
      </c>
      <c r="E181" s="14">
        <f>[1]DOQ!I427</f>
        <v>0</v>
      </c>
      <c r="F181" s="62"/>
      <c r="G181" s="16">
        <f t="shared" si="10"/>
        <v>0</v>
      </c>
    </row>
    <row r="182" spans="1:7" ht="15" x14ac:dyDescent="0.15">
      <c r="A182" s="17"/>
      <c r="B182" s="13"/>
      <c r="C182" s="18" t="s">
        <v>191</v>
      </c>
      <c r="D182" s="13" t="s">
        <v>21</v>
      </c>
      <c r="E182" s="14">
        <f>[1]DOQ!I428</f>
        <v>102.67</v>
      </c>
      <c r="F182" s="66">
        <f>'[2]Full Summary'!$D$911</f>
        <v>11347</v>
      </c>
      <c r="G182" s="16">
        <f t="shared" si="10"/>
        <v>1164996.49</v>
      </c>
    </row>
    <row r="183" spans="1:7" ht="15" x14ac:dyDescent="0.15">
      <c r="A183" s="17"/>
      <c r="B183" s="13"/>
      <c r="C183" s="18" t="s">
        <v>192</v>
      </c>
      <c r="D183" s="13" t="s">
        <v>21</v>
      </c>
      <c r="E183" s="14"/>
      <c r="F183" s="65"/>
      <c r="G183" s="16"/>
    </row>
    <row r="184" spans="1:7" ht="15" x14ac:dyDescent="0.15">
      <c r="A184" s="17"/>
      <c r="B184" s="13"/>
      <c r="C184" s="18" t="s">
        <v>193</v>
      </c>
      <c r="D184" s="13" t="s">
        <v>21</v>
      </c>
      <c r="E184" s="14">
        <f>[1]DOQ!I430</f>
        <v>6698.417003333323</v>
      </c>
      <c r="F184" s="65">
        <f>'[2]Full Summary'!$D$931</f>
        <v>11495</v>
      </c>
      <c r="G184" s="16">
        <f t="shared" si="10"/>
        <v>76998303.453316554</v>
      </c>
    </row>
    <row r="185" spans="1:7" ht="15" x14ac:dyDescent="0.15">
      <c r="A185" s="17"/>
      <c r="B185" s="13"/>
      <c r="C185" s="18" t="s">
        <v>194</v>
      </c>
      <c r="D185" s="13" t="s">
        <v>21</v>
      </c>
      <c r="E185" s="14"/>
      <c r="F185" s="62"/>
      <c r="G185" s="16">
        <f t="shared" si="10"/>
        <v>0</v>
      </c>
    </row>
    <row r="186" spans="1:7" ht="90" x14ac:dyDescent="0.15">
      <c r="A186" s="17">
        <f>A180+0.01</f>
        <v>8.0799999999999983</v>
      </c>
      <c r="B186" s="13" t="s">
        <v>199</v>
      </c>
      <c r="C186" s="18" t="s">
        <v>200</v>
      </c>
      <c r="D186" s="50"/>
      <c r="E186" s="14"/>
      <c r="F186" s="62"/>
      <c r="G186" s="16">
        <f t="shared" si="10"/>
        <v>0</v>
      </c>
    </row>
    <row r="187" spans="1:7" ht="15" x14ac:dyDescent="0.15">
      <c r="A187" s="17"/>
      <c r="B187" s="13"/>
      <c r="C187" s="18" t="s">
        <v>201</v>
      </c>
      <c r="D187" s="13" t="s">
        <v>21</v>
      </c>
      <c r="E187" s="14"/>
      <c r="F187" s="62"/>
      <c r="G187" s="16">
        <f t="shared" si="10"/>
        <v>0</v>
      </c>
    </row>
    <row r="188" spans="1:7" ht="15" x14ac:dyDescent="0.15">
      <c r="A188" s="17"/>
      <c r="B188" s="13"/>
      <c r="C188" s="18" t="s">
        <v>202</v>
      </c>
      <c r="D188" s="13" t="s">
        <v>21</v>
      </c>
      <c r="E188" s="14"/>
      <c r="F188" s="62"/>
      <c r="G188" s="16">
        <f t="shared" si="10"/>
        <v>0</v>
      </c>
    </row>
    <row r="189" spans="1:7" ht="15" x14ac:dyDescent="0.15">
      <c r="A189" s="17"/>
      <c r="B189" s="13"/>
      <c r="C189" s="18" t="s">
        <v>203</v>
      </c>
      <c r="D189" s="13" t="s">
        <v>21</v>
      </c>
      <c r="E189" s="14">
        <f>[1]DOQ!I435</f>
        <v>4734.7415000000001</v>
      </c>
      <c r="F189" s="65">
        <f>'[2]Full Summary'!$D$1014</f>
        <v>8981</v>
      </c>
      <c r="G189" s="16">
        <f t="shared" si="10"/>
        <v>42522713.411499999</v>
      </c>
    </row>
    <row r="190" spans="1:7" ht="15" x14ac:dyDescent="0.15">
      <c r="A190" s="17"/>
      <c r="B190" s="13"/>
      <c r="C190" s="18" t="s">
        <v>204</v>
      </c>
      <c r="D190" s="13" t="s">
        <v>21</v>
      </c>
      <c r="E190" s="14"/>
      <c r="F190" s="62"/>
      <c r="G190" s="16">
        <f t="shared" si="10"/>
        <v>0</v>
      </c>
    </row>
    <row r="191" spans="1:7" ht="15" x14ac:dyDescent="0.15">
      <c r="A191" s="17"/>
      <c r="B191" s="13"/>
      <c r="C191" s="18" t="s">
        <v>205</v>
      </c>
      <c r="D191" s="13" t="s">
        <v>21</v>
      </c>
      <c r="E191" s="14"/>
      <c r="F191" s="62"/>
      <c r="G191" s="16">
        <f t="shared" si="10"/>
        <v>0</v>
      </c>
    </row>
    <row r="192" spans="1:7" ht="90" x14ac:dyDescent="0.15">
      <c r="A192" s="17" t="s">
        <v>206</v>
      </c>
      <c r="B192" s="13" t="s">
        <v>199</v>
      </c>
      <c r="C192" s="18" t="s">
        <v>207</v>
      </c>
      <c r="D192" s="50"/>
      <c r="E192" s="14"/>
      <c r="F192" s="62"/>
      <c r="G192" s="16">
        <f t="shared" si="10"/>
        <v>0</v>
      </c>
    </row>
    <row r="193" spans="1:7" ht="15" x14ac:dyDescent="0.15">
      <c r="A193" s="17"/>
      <c r="B193" s="13"/>
      <c r="C193" s="18" t="s">
        <v>201</v>
      </c>
      <c r="D193" s="13" t="s">
        <v>21</v>
      </c>
      <c r="E193" s="14"/>
      <c r="F193" s="62"/>
      <c r="G193" s="16">
        <f t="shared" si="10"/>
        <v>0</v>
      </c>
    </row>
    <row r="194" spans="1:7" ht="15" x14ac:dyDescent="0.15">
      <c r="A194" s="17"/>
      <c r="B194" s="13"/>
      <c r="C194" s="18" t="s">
        <v>202</v>
      </c>
      <c r="D194" s="13" t="s">
        <v>21</v>
      </c>
      <c r="E194" s="14"/>
      <c r="F194" s="62"/>
      <c r="G194" s="16">
        <f t="shared" si="10"/>
        <v>0</v>
      </c>
    </row>
    <row r="195" spans="1:7" ht="15" x14ac:dyDescent="0.15">
      <c r="A195" s="17"/>
      <c r="B195" s="13"/>
      <c r="C195" s="18" t="s">
        <v>203</v>
      </c>
      <c r="D195" s="13" t="s">
        <v>21</v>
      </c>
      <c r="E195" s="14"/>
      <c r="F195" s="62"/>
      <c r="G195" s="16">
        <f t="shared" si="10"/>
        <v>0</v>
      </c>
    </row>
    <row r="196" spans="1:7" ht="15" x14ac:dyDescent="0.15">
      <c r="A196" s="17"/>
      <c r="B196" s="13"/>
      <c r="C196" s="18" t="s">
        <v>204</v>
      </c>
      <c r="D196" s="13" t="s">
        <v>21</v>
      </c>
      <c r="E196" s="14"/>
      <c r="F196" s="62"/>
      <c r="G196" s="16">
        <f t="shared" si="10"/>
        <v>0</v>
      </c>
    </row>
    <row r="197" spans="1:7" ht="15" x14ac:dyDescent="0.15">
      <c r="A197" s="17"/>
      <c r="B197" s="13"/>
      <c r="C197" s="18" t="s">
        <v>205</v>
      </c>
      <c r="D197" s="13" t="s">
        <v>21</v>
      </c>
      <c r="E197" s="14"/>
      <c r="F197" s="62"/>
      <c r="G197" s="16">
        <f t="shared" si="10"/>
        <v>0</v>
      </c>
    </row>
    <row r="198" spans="1:7" ht="90" x14ac:dyDescent="0.15">
      <c r="A198" s="17">
        <f>A186+0.01</f>
        <v>8.0899999999999981</v>
      </c>
      <c r="B198" s="13" t="s">
        <v>208</v>
      </c>
      <c r="C198" s="18" t="s">
        <v>209</v>
      </c>
      <c r="D198" s="50"/>
      <c r="E198" s="14">
        <f>[1]DOQ!I444</f>
        <v>0</v>
      </c>
      <c r="F198" s="62"/>
      <c r="G198" s="16">
        <f t="shared" si="10"/>
        <v>0</v>
      </c>
    </row>
    <row r="199" spans="1:7" ht="15" x14ac:dyDescent="0.15">
      <c r="A199" s="17"/>
      <c r="B199" s="13"/>
      <c r="C199" s="18" t="s">
        <v>210</v>
      </c>
      <c r="D199" s="13" t="s">
        <v>21</v>
      </c>
      <c r="E199" s="14">
        <f>[1]DOQ!I445</f>
        <v>0</v>
      </c>
      <c r="F199" s="62"/>
      <c r="G199" s="16">
        <f t="shared" si="10"/>
        <v>0</v>
      </c>
    </row>
    <row r="200" spans="1:7" ht="15" x14ac:dyDescent="0.15">
      <c r="A200" s="17"/>
      <c r="B200" s="13"/>
      <c r="C200" s="18" t="s">
        <v>211</v>
      </c>
      <c r="D200" s="13" t="s">
        <v>21</v>
      </c>
      <c r="E200" s="14">
        <f>[1]DOQ!I446</f>
        <v>0</v>
      </c>
      <c r="F200" s="62"/>
      <c r="G200" s="16">
        <f t="shared" si="10"/>
        <v>0</v>
      </c>
    </row>
    <row r="201" spans="1:7" ht="15" x14ac:dyDescent="0.15">
      <c r="A201" s="17"/>
      <c r="B201" s="13"/>
      <c r="C201" s="18" t="s">
        <v>212</v>
      </c>
      <c r="D201" s="13" t="s">
        <v>21</v>
      </c>
      <c r="E201" s="14">
        <f>[1]DOQ!I447</f>
        <v>0</v>
      </c>
      <c r="F201" s="62"/>
      <c r="G201" s="16">
        <f t="shared" si="10"/>
        <v>0</v>
      </c>
    </row>
    <row r="202" spans="1:7" ht="15" x14ac:dyDescent="0.15">
      <c r="A202" s="17"/>
      <c r="B202" s="13"/>
      <c r="C202" s="18" t="s">
        <v>213</v>
      </c>
      <c r="D202" s="13" t="s">
        <v>21</v>
      </c>
      <c r="E202" s="14">
        <f>[1]DOQ!I448</f>
        <v>0</v>
      </c>
      <c r="F202" s="62"/>
      <c r="G202" s="16">
        <f t="shared" si="10"/>
        <v>0</v>
      </c>
    </row>
    <row r="203" spans="1:7" ht="90" x14ac:dyDescent="0.15">
      <c r="A203" s="17" t="s">
        <v>214</v>
      </c>
      <c r="B203" s="13" t="s">
        <v>208</v>
      </c>
      <c r="C203" s="18" t="s">
        <v>215</v>
      </c>
      <c r="D203" s="50"/>
      <c r="E203" s="14">
        <f>[1]DOQ!I449</f>
        <v>0</v>
      </c>
      <c r="F203" s="62"/>
      <c r="G203" s="16">
        <f t="shared" si="10"/>
        <v>0</v>
      </c>
    </row>
    <row r="204" spans="1:7" ht="15" x14ac:dyDescent="0.15">
      <c r="A204" s="17"/>
      <c r="B204" s="13"/>
      <c r="C204" s="18" t="s">
        <v>210</v>
      </c>
      <c r="D204" s="13" t="s">
        <v>21</v>
      </c>
      <c r="E204" s="14">
        <f>[1]DOQ!I450</f>
        <v>0</v>
      </c>
      <c r="F204" s="62"/>
      <c r="G204" s="16">
        <f t="shared" si="10"/>
        <v>0</v>
      </c>
    </row>
    <row r="205" spans="1:7" ht="15" x14ac:dyDescent="0.15">
      <c r="A205" s="17"/>
      <c r="B205" s="13"/>
      <c r="C205" s="18" t="s">
        <v>211</v>
      </c>
      <c r="D205" s="13" t="s">
        <v>21</v>
      </c>
      <c r="E205" s="14">
        <f>[1]DOQ!I451</f>
        <v>0</v>
      </c>
      <c r="F205" s="62"/>
      <c r="G205" s="16">
        <f t="shared" si="10"/>
        <v>0</v>
      </c>
    </row>
    <row r="206" spans="1:7" ht="15" x14ac:dyDescent="0.15">
      <c r="A206" s="17"/>
      <c r="B206" s="13"/>
      <c r="C206" s="18" t="s">
        <v>212</v>
      </c>
      <c r="D206" s="13" t="s">
        <v>21</v>
      </c>
      <c r="E206" s="14">
        <f>[1]DOQ!I452</f>
        <v>0</v>
      </c>
      <c r="F206" s="62"/>
      <c r="G206" s="16">
        <f t="shared" si="10"/>
        <v>0</v>
      </c>
    </row>
    <row r="207" spans="1:7" ht="15" x14ac:dyDescent="0.15">
      <c r="A207" s="17"/>
      <c r="B207" s="13"/>
      <c r="C207" s="18" t="s">
        <v>213</v>
      </c>
      <c r="D207" s="13" t="s">
        <v>21</v>
      </c>
      <c r="E207" s="14">
        <f>[1]DOQ!I453</f>
        <v>0</v>
      </c>
      <c r="F207" s="62"/>
      <c r="G207" s="16">
        <f t="shared" si="10"/>
        <v>0</v>
      </c>
    </row>
    <row r="208" spans="1:7" ht="45" x14ac:dyDescent="0.15">
      <c r="A208" s="17">
        <f>A198+0.01</f>
        <v>8.0999999999999979</v>
      </c>
      <c r="B208" s="13" t="s">
        <v>216</v>
      </c>
      <c r="C208" s="18" t="s">
        <v>217</v>
      </c>
      <c r="D208" s="13" t="s">
        <v>58</v>
      </c>
      <c r="E208" s="14">
        <f>[1]DOQ!I454</f>
        <v>5633</v>
      </c>
      <c r="F208" s="65">
        <f>'[2]Full Summary'!$D$240</f>
        <v>529</v>
      </c>
      <c r="G208" s="16">
        <f t="shared" si="10"/>
        <v>2979857</v>
      </c>
    </row>
    <row r="209" spans="1:7" ht="45" x14ac:dyDescent="0.15">
      <c r="A209" s="17">
        <f>A208+0.01</f>
        <v>8.1099999999999977</v>
      </c>
      <c r="B209" s="13">
        <v>1600</v>
      </c>
      <c r="C209" s="18" t="s">
        <v>158</v>
      </c>
      <c r="D209" s="50"/>
      <c r="E209" s="14"/>
      <c r="F209" s="65"/>
      <c r="G209" s="16"/>
    </row>
    <row r="210" spans="1:7" ht="15" x14ac:dyDescent="0.15">
      <c r="A210" s="17"/>
      <c r="B210" s="13"/>
      <c r="C210" s="67" t="s">
        <v>84</v>
      </c>
      <c r="D210" s="50" t="s">
        <v>88</v>
      </c>
      <c r="E210" s="14">
        <f>[5]BOQ_Abstract!$D$58</f>
        <v>406.01216346109118</v>
      </c>
      <c r="F210" s="65">
        <v>57164</v>
      </c>
      <c r="G210" s="16">
        <f t="shared" si="10"/>
        <v>23209279.312089816</v>
      </c>
    </row>
    <row r="211" spans="1:7" ht="15" x14ac:dyDescent="0.15">
      <c r="A211" s="17"/>
      <c r="B211" s="13"/>
      <c r="C211" s="67" t="s">
        <v>89</v>
      </c>
      <c r="D211" s="50" t="s">
        <v>88</v>
      </c>
      <c r="E211" s="14">
        <f>[5]BOQ_Abstract!$D$64</f>
        <v>798.72040000000004</v>
      </c>
      <c r="F211" s="65">
        <v>57361</v>
      </c>
      <c r="G211" s="16">
        <f t="shared" si="10"/>
        <v>45815400.864399999</v>
      </c>
    </row>
    <row r="212" spans="1:7" ht="15" x14ac:dyDescent="0.15">
      <c r="A212" s="17"/>
      <c r="B212" s="13"/>
      <c r="C212" s="67" t="s">
        <v>90</v>
      </c>
      <c r="D212" s="50" t="s">
        <v>88</v>
      </c>
      <c r="E212" s="14">
        <f>[5]BOQ_Abstract!$D$72</f>
        <v>544</v>
      </c>
      <c r="F212" s="65">
        <v>58779</v>
      </c>
      <c r="G212" s="16">
        <f t="shared" si="10"/>
        <v>31975776</v>
      </c>
    </row>
    <row r="213" spans="1:7" ht="150" x14ac:dyDescent="0.15">
      <c r="A213" s="17">
        <f>A209+0.01</f>
        <v>8.1199999999999974</v>
      </c>
      <c r="B213" s="13" t="s">
        <v>218</v>
      </c>
      <c r="C213" s="18" t="s">
        <v>219</v>
      </c>
      <c r="D213" s="50" t="s">
        <v>88</v>
      </c>
      <c r="E213" s="14">
        <f>[1]DOQ!I459</f>
        <v>25.959088000000005</v>
      </c>
      <c r="F213" s="62">
        <v>90000</v>
      </c>
      <c r="G213" s="16">
        <f t="shared" si="10"/>
        <v>2336317.9200000004</v>
      </c>
    </row>
    <row r="214" spans="1:7" ht="150" x14ac:dyDescent="0.15">
      <c r="A214" s="17"/>
      <c r="B214" s="13" t="s">
        <v>218</v>
      </c>
      <c r="C214" s="18" t="s">
        <v>220</v>
      </c>
      <c r="D214" s="50" t="s">
        <v>88</v>
      </c>
      <c r="E214" s="14">
        <f>[1]DOQ!I460</f>
        <v>0</v>
      </c>
      <c r="F214" s="62"/>
      <c r="G214" s="16">
        <f t="shared" si="10"/>
        <v>0</v>
      </c>
    </row>
    <row r="215" spans="1:7" ht="30" x14ac:dyDescent="0.15">
      <c r="A215" s="17">
        <f>A213+0.01</f>
        <v>8.1299999999999972</v>
      </c>
      <c r="B215" s="13">
        <v>1800</v>
      </c>
      <c r="C215" s="18" t="s">
        <v>221</v>
      </c>
      <c r="D215" s="50" t="s">
        <v>88</v>
      </c>
      <c r="E215" s="14">
        <f>[1]DOQ!I461</f>
        <v>0</v>
      </c>
      <c r="F215" s="66">
        <f>'[2]Full Summary'!$D$1085</f>
        <v>81660</v>
      </c>
      <c r="G215" s="16">
        <f t="shared" si="10"/>
        <v>0</v>
      </c>
    </row>
    <row r="216" spans="1:7" ht="45" x14ac:dyDescent="0.15">
      <c r="A216" s="17">
        <f>A215+0.01</f>
        <v>8.139999999999997</v>
      </c>
      <c r="B216" s="13">
        <v>2700</v>
      </c>
      <c r="C216" s="18" t="s">
        <v>161</v>
      </c>
      <c r="D216" s="13" t="s">
        <v>15</v>
      </c>
      <c r="E216" s="14">
        <f>[1]DOQ!I462</f>
        <v>2502</v>
      </c>
      <c r="F216" s="66">
        <f>'[2]Full Summary'!$D$940</f>
        <v>347</v>
      </c>
      <c r="G216" s="16">
        <f t="shared" si="10"/>
        <v>868194</v>
      </c>
    </row>
    <row r="217" spans="1:7" ht="45" x14ac:dyDescent="0.15">
      <c r="A217" s="17">
        <f t="shared" ref="A217:A228" si="11">A216+0.01</f>
        <v>8.1499999999999968</v>
      </c>
      <c r="B217" s="13" t="s">
        <v>222</v>
      </c>
      <c r="C217" s="18" t="s">
        <v>223</v>
      </c>
      <c r="D217" s="50"/>
      <c r="E217" s="14">
        <f>[1]DOQ!I463</f>
        <v>0</v>
      </c>
      <c r="F217" s="62"/>
      <c r="G217" s="16">
        <f t="shared" si="10"/>
        <v>0</v>
      </c>
    </row>
    <row r="218" spans="1:7" ht="15" x14ac:dyDescent="0.15">
      <c r="A218" s="17"/>
      <c r="B218" s="13"/>
      <c r="C218" s="18" t="s">
        <v>224</v>
      </c>
      <c r="D218" s="13" t="s">
        <v>21</v>
      </c>
      <c r="E218" s="14">
        <f>[1]DOQ!I464</f>
        <v>3912.2921952210881</v>
      </c>
      <c r="F218" s="68">
        <f>'[6]AOR-15-16'!$AC$23</f>
        <v>809.32653400000004</v>
      </c>
      <c r="G218" s="16">
        <f t="shared" si="10"/>
        <v>3166321.8823535349</v>
      </c>
    </row>
    <row r="219" spans="1:7" ht="15" x14ac:dyDescent="0.15">
      <c r="A219" s="17"/>
      <c r="B219" s="13"/>
      <c r="C219" s="18" t="s">
        <v>225</v>
      </c>
      <c r="D219" s="13" t="s">
        <v>21</v>
      </c>
      <c r="E219" s="14">
        <f>[1]DOQ!I465</f>
        <v>0</v>
      </c>
      <c r="F219" s="62"/>
      <c r="G219" s="16">
        <f t="shared" si="10"/>
        <v>0</v>
      </c>
    </row>
    <row r="220" spans="1:7" ht="105" x14ac:dyDescent="0.15">
      <c r="A220" s="17">
        <f>A217+0.01</f>
        <v>8.1599999999999966</v>
      </c>
      <c r="B220" s="13">
        <v>2504</v>
      </c>
      <c r="C220" s="18" t="s">
        <v>226</v>
      </c>
      <c r="D220" s="50"/>
      <c r="E220" s="14"/>
      <c r="F220" s="62"/>
      <c r="G220" s="16"/>
    </row>
    <row r="221" spans="1:7" ht="15" x14ac:dyDescent="0.15">
      <c r="A221" s="17"/>
      <c r="B221" s="13"/>
      <c r="C221" s="18" t="s">
        <v>227</v>
      </c>
      <c r="D221" s="13" t="s">
        <v>21</v>
      </c>
      <c r="E221" s="14">
        <f>[1]DOQ!I467</f>
        <v>3380.1267000000007</v>
      </c>
      <c r="F221" s="68">
        <f>'[2]Full Summary'!$D$944</f>
        <v>4692</v>
      </c>
      <c r="G221" s="16">
        <f t="shared" si="10"/>
        <v>15859554.476400003</v>
      </c>
    </row>
    <row r="222" spans="1:7" ht="15" x14ac:dyDescent="0.15">
      <c r="A222" s="17"/>
      <c r="B222" s="13"/>
      <c r="C222" s="18" t="s">
        <v>228</v>
      </c>
      <c r="D222" s="13" t="s">
        <v>21</v>
      </c>
      <c r="E222" s="14">
        <f>[1]DOQ!I468</f>
        <v>0</v>
      </c>
      <c r="F222" s="62"/>
      <c r="G222" s="16">
        <f t="shared" si="10"/>
        <v>0</v>
      </c>
    </row>
    <row r="223" spans="1:7" ht="30" x14ac:dyDescent="0.15">
      <c r="A223" s="17">
        <f>A220+0.01</f>
        <v>8.1699999999999964</v>
      </c>
      <c r="B223" s="13">
        <v>2705</v>
      </c>
      <c r="C223" s="18" t="s">
        <v>229</v>
      </c>
      <c r="D223" s="13" t="s">
        <v>15</v>
      </c>
      <c r="E223" s="14">
        <f>[1]DOQ!I469</f>
        <v>162</v>
      </c>
      <c r="F223" s="66">
        <f>'[2]Full Summary'!$D$1091</f>
        <v>2782</v>
      </c>
      <c r="G223" s="16">
        <f t="shared" si="10"/>
        <v>450684</v>
      </c>
    </row>
    <row r="224" spans="1:7" ht="60" x14ac:dyDescent="0.15">
      <c r="A224" s="17">
        <f t="shared" si="11"/>
        <v>8.1799999999999962</v>
      </c>
      <c r="B224" s="13">
        <v>2503</v>
      </c>
      <c r="C224" s="18" t="s">
        <v>230</v>
      </c>
      <c r="D224" s="13" t="s">
        <v>21</v>
      </c>
      <c r="E224" s="14"/>
      <c r="F224" s="62"/>
      <c r="G224" s="16"/>
    </row>
    <row r="225" spans="1:7" ht="45" x14ac:dyDescent="0.15">
      <c r="A225" s="17">
        <f t="shared" si="11"/>
        <v>8.1899999999999959</v>
      </c>
      <c r="B225" s="13">
        <v>2505</v>
      </c>
      <c r="C225" s="18" t="s">
        <v>231</v>
      </c>
      <c r="D225" s="13" t="s">
        <v>21</v>
      </c>
      <c r="E225" s="14"/>
      <c r="F225" s="66"/>
      <c r="G225" s="16"/>
    </row>
    <row r="226" spans="1:7" ht="30" x14ac:dyDescent="0.15">
      <c r="A226" s="17">
        <f t="shared" si="11"/>
        <v>8.1999999999999957</v>
      </c>
      <c r="B226" s="13" t="s">
        <v>232</v>
      </c>
      <c r="C226" s="18" t="s">
        <v>233</v>
      </c>
      <c r="D226" s="13" t="s">
        <v>58</v>
      </c>
      <c r="E226" s="14">
        <f>[1]DOQ!I472</f>
        <v>205.44000000000005</v>
      </c>
      <c r="F226" s="62">
        <v>210</v>
      </c>
      <c r="G226" s="16">
        <f>E226*F226</f>
        <v>43142.400000000009</v>
      </c>
    </row>
    <row r="227" spans="1:7" ht="30" x14ac:dyDescent="0.15">
      <c r="A227" s="17">
        <f t="shared" si="11"/>
        <v>8.2099999999999955</v>
      </c>
      <c r="B227" s="13" t="s">
        <v>234</v>
      </c>
      <c r="C227" s="18" t="s">
        <v>235</v>
      </c>
      <c r="D227" s="50" t="s">
        <v>236</v>
      </c>
      <c r="E227" s="14">
        <f>[1]DOQ!I473</f>
        <v>0</v>
      </c>
      <c r="F227" s="66">
        <f>'[2]Full Summary'!$D$948</f>
        <v>1</v>
      </c>
      <c r="G227" s="16">
        <f t="shared" si="10"/>
        <v>0</v>
      </c>
    </row>
    <row r="228" spans="1:7" ht="105" x14ac:dyDescent="0.15">
      <c r="A228" s="17">
        <f t="shared" si="11"/>
        <v>8.2199999999999953</v>
      </c>
      <c r="B228" s="13" t="s">
        <v>232</v>
      </c>
      <c r="C228" s="18" t="s">
        <v>237</v>
      </c>
      <c r="D228" s="50"/>
      <c r="E228" s="14">
        <f>[1]DOQ!I474</f>
        <v>0</v>
      </c>
      <c r="F228" s="62"/>
      <c r="G228" s="16">
        <f t="shared" si="10"/>
        <v>0</v>
      </c>
    </row>
    <row r="229" spans="1:7" ht="15" x14ac:dyDescent="0.15">
      <c r="A229" s="17"/>
      <c r="B229" s="13"/>
      <c r="C229" s="18" t="s">
        <v>238</v>
      </c>
      <c r="D229" s="50" t="s">
        <v>88</v>
      </c>
      <c r="E229" s="14">
        <f>[1]DOQ!I475</f>
        <v>20300</v>
      </c>
      <c r="F229" s="66">
        <f>'[2]Full Summary'!$D$950</f>
        <v>53</v>
      </c>
      <c r="G229" s="16">
        <f t="shared" ref="G229:G266" si="12">E229*F229</f>
        <v>1075900</v>
      </c>
    </row>
    <row r="230" spans="1:7" ht="15" x14ac:dyDescent="0.15">
      <c r="A230" s="17"/>
      <c r="B230" s="13"/>
      <c r="C230" s="18" t="s">
        <v>239</v>
      </c>
      <c r="D230" s="50" t="s">
        <v>88</v>
      </c>
      <c r="E230" s="14">
        <f>[1]DOQ!I476</f>
        <v>700</v>
      </c>
      <c r="F230" s="66">
        <f>'[2]Full Summary'!$D$950</f>
        <v>53</v>
      </c>
      <c r="G230" s="16">
        <f t="shared" si="12"/>
        <v>37100</v>
      </c>
    </row>
    <row r="231" spans="1:7" ht="60" x14ac:dyDescent="0.15">
      <c r="A231" s="17">
        <f>A228+0.01</f>
        <v>8.2299999999999951</v>
      </c>
      <c r="B231" s="13" t="s">
        <v>240</v>
      </c>
      <c r="C231" s="18" t="s">
        <v>241</v>
      </c>
      <c r="D231" s="13" t="s">
        <v>21</v>
      </c>
      <c r="E231" s="14">
        <f>[1]DOQ!I477</f>
        <v>519</v>
      </c>
      <c r="F231" s="66">
        <f>'[2]Full Summary'!$D$1093</f>
        <v>13356</v>
      </c>
      <c r="G231" s="16">
        <f t="shared" si="12"/>
        <v>6931764</v>
      </c>
    </row>
    <row r="232" spans="1:7" ht="120" x14ac:dyDescent="0.15">
      <c r="A232" s="17">
        <f>A231+0.01</f>
        <v>8.2399999999999949</v>
      </c>
      <c r="B232" s="13" t="s">
        <v>242</v>
      </c>
      <c r="C232" s="18" t="s">
        <v>243</v>
      </c>
      <c r="D232" s="13" t="s">
        <v>26</v>
      </c>
      <c r="E232" s="14">
        <f>[1]DOQ!I478</f>
        <v>1034</v>
      </c>
      <c r="F232" s="66">
        <f>'[2]Full Summary'!$D$1089</f>
        <v>2037</v>
      </c>
      <c r="G232" s="16">
        <f t="shared" si="12"/>
        <v>2106258</v>
      </c>
    </row>
    <row r="233" spans="1:7" ht="105" x14ac:dyDescent="0.15">
      <c r="A233" s="17">
        <f>A232+0.01</f>
        <v>8.2499999999999947</v>
      </c>
      <c r="B233" s="13" t="s">
        <v>244</v>
      </c>
      <c r="C233" s="18" t="s">
        <v>245</v>
      </c>
      <c r="D233" s="13" t="s">
        <v>26</v>
      </c>
      <c r="E233" s="14">
        <f>[1]DOQ!I479</f>
        <v>1034</v>
      </c>
      <c r="F233" s="69">
        <f>'[2]Full Summary'!$D$334</f>
        <v>4984</v>
      </c>
      <c r="G233" s="16">
        <f t="shared" si="12"/>
        <v>5153456</v>
      </c>
    </row>
    <row r="234" spans="1:7" ht="102" x14ac:dyDescent="0.15">
      <c r="A234" s="17" t="s">
        <v>246</v>
      </c>
      <c r="B234" s="13"/>
      <c r="C234" s="64" t="s">
        <v>168</v>
      </c>
      <c r="D234" s="13" t="s">
        <v>26</v>
      </c>
      <c r="E234" s="14"/>
      <c r="F234" s="63"/>
      <c r="G234" s="16"/>
    </row>
    <row r="235" spans="1:7" ht="45" x14ac:dyDescent="0.15">
      <c r="A235" s="17">
        <f>A233+0.01</f>
        <v>8.2599999999999945</v>
      </c>
      <c r="B235" s="13">
        <v>2504</v>
      </c>
      <c r="C235" s="18" t="s">
        <v>247</v>
      </c>
      <c r="D235" s="50"/>
      <c r="E235" s="14"/>
      <c r="F235" s="62"/>
      <c r="G235" s="16"/>
    </row>
    <row r="236" spans="1:7" ht="16" x14ac:dyDescent="0.15">
      <c r="A236" s="17"/>
      <c r="B236" s="13"/>
      <c r="C236" s="18" t="s">
        <v>227</v>
      </c>
      <c r="D236" s="13" t="s">
        <v>21</v>
      </c>
      <c r="E236" s="14">
        <f>[1]DOQ!I482</f>
        <v>421.03153987157043</v>
      </c>
      <c r="F236" s="70">
        <f>F79</f>
        <v>1340</v>
      </c>
      <c r="G236" s="16">
        <f t="shared" si="12"/>
        <v>564182.26342790434</v>
      </c>
    </row>
    <row r="237" spans="1:7" ht="15" x14ac:dyDescent="0.15">
      <c r="A237" s="17"/>
      <c r="B237" s="13"/>
      <c r="C237" s="18" t="s">
        <v>228</v>
      </c>
      <c r="D237" s="13" t="s">
        <v>21</v>
      </c>
      <c r="E237" s="14">
        <f>[1]DOQ!I483</f>
        <v>0</v>
      </c>
      <c r="F237" s="62"/>
      <c r="G237" s="16">
        <f t="shared" si="12"/>
        <v>0</v>
      </c>
    </row>
    <row r="238" spans="1:7" ht="60" x14ac:dyDescent="0.15">
      <c r="A238" s="17">
        <f>A235+0.01</f>
        <v>8.2699999999999942</v>
      </c>
      <c r="B238" s="13">
        <v>2504</v>
      </c>
      <c r="C238" s="18" t="s">
        <v>248</v>
      </c>
      <c r="D238" s="13" t="s">
        <v>21</v>
      </c>
      <c r="E238" s="14">
        <f>[1]DOQ!I484</f>
        <v>842.06307974314086</v>
      </c>
      <c r="F238" s="63">
        <f>'[2]Full Summary'!$D$1118</f>
        <v>1837</v>
      </c>
      <c r="G238" s="16">
        <f t="shared" si="12"/>
        <v>1546869.8774881498</v>
      </c>
    </row>
    <row r="239" spans="1:7" ht="15" x14ac:dyDescent="0.15">
      <c r="A239" s="17">
        <f>A238+0.01</f>
        <v>8.279999999999994</v>
      </c>
      <c r="B239" s="13"/>
      <c r="C239" s="18" t="s">
        <v>249</v>
      </c>
      <c r="D239" s="50"/>
      <c r="E239" s="14">
        <f>[1]DOQ!I485</f>
        <v>0</v>
      </c>
      <c r="F239" s="62"/>
      <c r="G239" s="16">
        <f t="shared" si="12"/>
        <v>0</v>
      </c>
    </row>
    <row r="240" spans="1:7" ht="15" x14ac:dyDescent="0.15">
      <c r="A240" s="17"/>
      <c r="B240" s="13"/>
      <c r="C240" s="18" t="s">
        <v>250</v>
      </c>
      <c r="D240" s="13" t="s">
        <v>26</v>
      </c>
      <c r="E240" s="14">
        <f>[1]DOQ!I486</f>
        <v>0</v>
      </c>
      <c r="F240" s="62"/>
      <c r="G240" s="16">
        <f t="shared" si="12"/>
        <v>0</v>
      </c>
    </row>
    <row r="241" spans="1:7" ht="15" x14ac:dyDescent="0.15">
      <c r="A241" s="17"/>
      <c r="B241" s="13"/>
      <c r="C241" s="18" t="s">
        <v>251</v>
      </c>
      <c r="D241" s="13" t="s">
        <v>26</v>
      </c>
      <c r="E241" s="14">
        <f>[1]DOQ!I487</f>
        <v>0</v>
      </c>
      <c r="F241" s="62"/>
      <c r="G241" s="16">
        <f t="shared" si="12"/>
        <v>0</v>
      </c>
    </row>
    <row r="242" spans="1:7" ht="15" x14ac:dyDescent="0.15">
      <c r="A242" s="17"/>
      <c r="B242" s="13"/>
      <c r="C242" s="18" t="s">
        <v>252</v>
      </c>
      <c r="D242" s="13" t="s">
        <v>26</v>
      </c>
      <c r="E242" s="14">
        <f>[1]DOQ!I488</f>
        <v>0</v>
      </c>
      <c r="F242" s="62"/>
      <c r="G242" s="16">
        <f t="shared" si="12"/>
        <v>0</v>
      </c>
    </row>
    <row r="243" spans="1:7" ht="15" x14ac:dyDescent="0.15">
      <c r="A243" s="17">
        <f>A239+0.01</f>
        <v>8.2899999999999938</v>
      </c>
      <c r="B243" s="13">
        <v>2600</v>
      </c>
      <c r="C243" s="18" t="s">
        <v>253</v>
      </c>
      <c r="D243" s="50"/>
      <c r="E243" s="14">
        <f>[1]DOQ!I489</f>
        <v>0</v>
      </c>
      <c r="F243" s="62"/>
      <c r="G243" s="16">
        <f t="shared" si="12"/>
        <v>0</v>
      </c>
    </row>
    <row r="244" spans="1:7" ht="60" x14ac:dyDescent="0.15">
      <c r="A244" s="17"/>
      <c r="B244" s="13"/>
      <c r="C244" s="18" t="s">
        <v>254</v>
      </c>
      <c r="D244" s="13" t="s">
        <v>26</v>
      </c>
      <c r="E244" s="14">
        <f>[1]DOQ!I490</f>
        <v>160</v>
      </c>
      <c r="F244" s="66">
        <f>'[2]Full Summary'!$D$1108</f>
        <v>2846</v>
      </c>
      <c r="G244" s="16">
        <f t="shared" si="12"/>
        <v>455360</v>
      </c>
    </row>
    <row r="245" spans="1:7" ht="60" x14ac:dyDescent="0.15">
      <c r="A245" s="17"/>
      <c r="B245" s="13"/>
      <c r="C245" s="18" t="s">
        <v>255</v>
      </c>
      <c r="D245" s="13" t="s">
        <v>26</v>
      </c>
      <c r="E245" s="14">
        <f>[1]DOQ!I491</f>
        <v>0</v>
      </c>
      <c r="F245" s="62"/>
      <c r="G245" s="16">
        <f t="shared" si="12"/>
        <v>0</v>
      </c>
    </row>
    <row r="246" spans="1:7" ht="60" x14ac:dyDescent="0.15">
      <c r="A246" s="17"/>
      <c r="B246" s="13"/>
      <c r="C246" s="18" t="s">
        <v>256</v>
      </c>
      <c r="D246" s="13" t="s">
        <v>26</v>
      </c>
      <c r="E246" s="14">
        <f>[1]DOQ!I492</f>
        <v>0</v>
      </c>
      <c r="F246" s="62"/>
      <c r="G246" s="16">
        <f t="shared" si="12"/>
        <v>0</v>
      </c>
    </row>
    <row r="247" spans="1:7" ht="30" x14ac:dyDescent="0.15">
      <c r="A247" s="17"/>
      <c r="B247" s="13">
        <v>2605</v>
      </c>
      <c r="C247" s="18" t="s">
        <v>257</v>
      </c>
      <c r="D247" s="13" t="s">
        <v>26</v>
      </c>
      <c r="E247" s="14">
        <f>[1]DOQ!I493</f>
        <v>364</v>
      </c>
      <c r="F247" s="66">
        <f>'[2]Full Summary'!$D$1102</f>
        <v>167</v>
      </c>
      <c r="G247" s="16">
        <f t="shared" si="12"/>
        <v>60788</v>
      </c>
    </row>
    <row r="248" spans="1:7" ht="60" x14ac:dyDescent="0.15">
      <c r="A248" s="17">
        <f>A243+0.01</f>
        <v>8.2999999999999936</v>
      </c>
      <c r="B248" s="13">
        <v>1400</v>
      </c>
      <c r="C248" s="18" t="s">
        <v>162</v>
      </c>
      <c r="D248" s="13" t="s">
        <v>21</v>
      </c>
      <c r="E248" s="14">
        <f>[1]DOQ!I494</f>
        <v>0</v>
      </c>
      <c r="F248" s="62"/>
      <c r="G248" s="16">
        <f t="shared" si="12"/>
        <v>0</v>
      </c>
    </row>
    <row r="249" spans="1:7" ht="60" x14ac:dyDescent="0.15">
      <c r="A249" s="17">
        <f t="shared" ref="A249:A258" si="13">A248+0.01</f>
        <v>8.3099999999999934</v>
      </c>
      <c r="B249" s="13" t="s">
        <v>258</v>
      </c>
      <c r="C249" s="18" t="s">
        <v>259</v>
      </c>
      <c r="D249" s="50"/>
      <c r="E249" s="14">
        <f>[1]DOQ!I495</f>
        <v>0</v>
      </c>
      <c r="F249" s="62"/>
      <c r="G249" s="16">
        <f t="shared" si="12"/>
        <v>0</v>
      </c>
    </row>
    <row r="250" spans="1:7" ht="15" x14ac:dyDescent="0.15">
      <c r="A250" s="17"/>
      <c r="B250" s="13"/>
      <c r="C250" s="18" t="s">
        <v>260</v>
      </c>
      <c r="D250" s="13" t="s">
        <v>26</v>
      </c>
      <c r="E250" s="14">
        <f>[1]DOQ!I496</f>
        <v>0</v>
      </c>
      <c r="F250" s="62"/>
      <c r="G250" s="16">
        <f t="shared" si="12"/>
        <v>0</v>
      </c>
    </row>
    <row r="251" spans="1:7" ht="15" x14ac:dyDescent="0.15">
      <c r="A251" s="17"/>
      <c r="B251" s="13"/>
      <c r="C251" s="18" t="s">
        <v>261</v>
      </c>
      <c r="D251" s="13" t="s">
        <v>26</v>
      </c>
      <c r="E251" s="14">
        <f>[1]DOQ!I497</f>
        <v>0</v>
      </c>
      <c r="F251" s="62"/>
      <c r="G251" s="16">
        <f t="shared" si="12"/>
        <v>0</v>
      </c>
    </row>
    <row r="252" spans="1:7" ht="15" x14ac:dyDescent="0.15">
      <c r="A252" s="17"/>
      <c r="B252" s="13"/>
      <c r="C252" s="18" t="s">
        <v>262</v>
      </c>
      <c r="D252" s="13" t="s">
        <v>26</v>
      </c>
      <c r="E252" s="14">
        <f>[1]DOQ!I498</f>
        <v>0</v>
      </c>
      <c r="F252" s="62"/>
      <c r="G252" s="16">
        <f t="shared" si="12"/>
        <v>0</v>
      </c>
    </row>
    <row r="253" spans="1:7" ht="60" x14ac:dyDescent="0.15">
      <c r="A253" s="17">
        <f>A249+0.01</f>
        <v>8.3199999999999932</v>
      </c>
      <c r="B253" s="13" t="s">
        <v>258</v>
      </c>
      <c r="C253" s="18" t="s">
        <v>263</v>
      </c>
      <c r="D253" s="50"/>
      <c r="E253" s="14">
        <f>[1]DOQ!I499</f>
        <v>0</v>
      </c>
      <c r="F253" s="62"/>
      <c r="G253" s="16">
        <f t="shared" si="12"/>
        <v>0</v>
      </c>
    </row>
    <row r="254" spans="1:7" ht="15" x14ac:dyDescent="0.15">
      <c r="A254" s="17"/>
      <c r="B254" s="13"/>
      <c r="C254" s="18" t="s">
        <v>260</v>
      </c>
      <c r="D254" s="13" t="s">
        <v>26</v>
      </c>
      <c r="E254" s="14">
        <f>[1]DOQ!I500</f>
        <v>0</v>
      </c>
      <c r="F254" s="62"/>
      <c r="G254" s="16">
        <f t="shared" si="12"/>
        <v>0</v>
      </c>
    </row>
    <row r="255" spans="1:7" ht="15" x14ac:dyDescent="0.15">
      <c r="A255" s="17"/>
      <c r="B255" s="13"/>
      <c r="C255" s="18" t="s">
        <v>261</v>
      </c>
      <c r="D255" s="13" t="s">
        <v>26</v>
      </c>
      <c r="E255" s="14">
        <f>[1]DOQ!I501</f>
        <v>0</v>
      </c>
      <c r="F255" s="62"/>
      <c r="G255" s="16">
        <f t="shared" si="12"/>
        <v>0</v>
      </c>
    </row>
    <row r="256" spans="1:7" ht="15" x14ac:dyDescent="0.15">
      <c r="A256" s="17"/>
      <c r="B256" s="13"/>
      <c r="C256" s="18" t="s">
        <v>262</v>
      </c>
      <c r="D256" s="13" t="s">
        <v>26</v>
      </c>
      <c r="E256" s="14">
        <f>[1]DOQ!I502</f>
        <v>0</v>
      </c>
      <c r="F256" s="62"/>
      <c r="G256" s="16">
        <f t="shared" si="12"/>
        <v>0</v>
      </c>
    </row>
    <row r="257" spans="1:7" ht="30" x14ac:dyDescent="0.15">
      <c r="A257" s="17">
        <f>A253+0.01</f>
        <v>8.329999999999993</v>
      </c>
      <c r="B257" s="13">
        <v>1100</v>
      </c>
      <c r="C257" s="18" t="s">
        <v>264</v>
      </c>
      <c r="D257" s="50" t="s">
        <v>88</v>
      </c>
      <c r="E257" s="14">
        <f>[1]DOQ!I503</f>
        <v>0</v>
      </c>
      <c r="F257" s="62"/>
      <c r="G257" s="16">
        <f t="shared" si="12"/>
        <v>0</v>
      </c>
    </row>
    <row r="258" spans="1:7" ht="60" x14ac:dyDescent="0.15">
      <c r="A258" s="17">
        <f t="shared" si="13"/>
        <v>8.3399999999999928</v>
      </c>
      <c r="B258" s="13" t="s">
        <v>265</v>
      </c>
      <c r="C258" s="18" t="s">
        <v>266</v>
      </c>
      <c r="D258" s="50"/>
      <c r="E258" s="14">
        <f>[1]DOQ!I504</f>
        <v>0</v>
      </c>
      <c r="F258" s="62"/>
      <c r="G258" s="16">
        <f t="shared" si="12"/>
        <v>0</v>
      </c>
    </row>
    <row r="259" spans="1:7" ht="15" x14ac:dyDescent="0.15">
      <c r="A259" s="17"/>
      <c r="B259" s="13"/>
      <c r="C259" s="18" t="s">
        <v>267</v>
      </c>
      <c r="D259" s="13" t="s">
        <v>15</v>
      </c>
      <c r="E259" s="14">
        <f>[1]DOQ!I505</f>
        <v>0</v>
      </c>
      <c r="F259" s="62"/>
      <c r="G259" s="16">
        <f t="shared" si="12"/>
        <v>0</v>
      </c>
    </row>
    <row r="260" spans="1:7" ht="30" x14ac:dyDescent="0.15">
      <c r="A260" s="17"/>
      <c r="B260" s="13"/>
      <c r="C260" s="18" t="s">
        <v>268</v>
      </c>
      <c r="D260" s="13" t="s">
        <v>15</v>
      </c>
      <c r="E260" s="14">
        <f>[1]DOQ!I506</f>
        <v>0</v>
      </c>
      <c r="F260" s="62"/>
      <c r="G260" s="16">
        <f t="shared" si="12"/>
        <v>0</v>
      </c>
    </row>
    <row r="261" spans="1:7" ht="30" x14ac:dyDescent="0.15">
      <c r="A261" s="17"/>
      <c r="B261" s="13"/>
      <c r="C261" s="18" t="s">
        <v>269</v>
      </c>
      <c r="D261" s="13" t="s">
        <v>15</v>
      </c>
      <c r="E261" s="14">
        <f>[1]DOQ!I507</f>
        <v>0</v>
      </c>
      <c r="F261" s="62"/>
      <c r="G261" s="16">
        <f t="shared" si="12"/>
        <v>0</v>
      </c>
    </row>
    <row r="262" spans="1:7" ht="15" x14ac:dyDescent="0.15">
      <c r="A262" s="17"/>
      <c r="B262" s="13"/>
      <c r="C262" s="18" t="s">
        <v>270</v>
      </c>
      <c r="D262" s="13" t="s">
        <v>15</v>
      </c>
      <c r="E262" s="14">
        <f>[1]DOQ!I508</f>
        <v>0</v>
      </c>
      <c r="F262" s="62"/>
      <c r="G262" s="16">
        <f t="shared" si="12"/>
        <v>0</v>
      </c>
    </row>
    <row r="263" spans="1:7" ht="15" x14ac:dyDescent="0.15">
      <c r="A263" s="17"/>
      <c r="B263" s="13"/>
      <c r="C263" s="18" t="s">
        <v>271</v>
      </c>
      <c r="D263" s="13" t="s">
        <v>15</v>
      </c>
      <c r="E263" s="14">
        <f>[1]DOQ!I509</f>
        <v>0</v>
      </c>
      <c r="F263" s="62"/>
      <c r="G263" s="16">
        <f t="shared" si="12"/>
        <v>0</v>
      </c>
    </row>
    <row r="264" spans="1:7" ht="30" x14ac:dyDescent="0.15">
      <c r="A264" s="17">
        <f>A258+0.01</f>
        <v>8.3499999999999925</v>
      </c>
      <c r="B264" s="13" t="s">
        <v>272</v>
      </c>
      <c r="C264" s="18" t="s">
        <v>273</v>
      </c>
      <c r="D264" s="50" t="s">
        <v>88</v>
      </c>
      <c r="E264" s="14">
        <f>[1]DOQ!I510</f>
        <v>0</v>
      </c>
      <c r="F264" s="62"/>
      <c r="G264" s="16">
        <f t="shared" si="12"/>
        <v>0</v>
      </c>
    </row>
    <row r="265" spans="1:7" ht="60" x14ac:dyDescent="0.15">
      <c r="A265" s="17">
        <f>A264+0.01</f>
        <v>8.3599999999999923</v>
      </c>
      <c r="B265" s="13">
        <v>409</v>
      </c>
      <c r="C265" s="59" t="s">
        <v>274</v>
      </c>
      <c r="D265" s="13" t="s">
        <v>58</v>
      </c>
      <c r="E265" s="14">
        <f>[1]DOQ!I511</f>
        <v>0</v>
      </c>
      <c r="F265" s="62"/>
      <c r="G265" s="16">
        <f t="shared" si="12"/>
        <v>0</v>
      </c>
    </row>
    <row r="266" spans="1:7" ht="30" x14ac:dyDescent="0.15">
      <c r="A266" s="17">
        <f>A265+0.01</f>
        <v>8.3699999999999921</v>
      </c>
      <c r="B266" s="13" t="s">
        <v>275</v>
      </c>
      <c r="C266" s="59" t="s">
        <v>276</v>
      </c>
      <c r="D266" s="13" t="s">
        <v>15</v>
      </c>
      <c r="E266" s="14">
        <f>[1]DOQ!I512</f>
        <v>32</v>
      </c>
      <c r="F266" s="71">
        <v>22</v>
      </c>
      <c r="G266" s="16">
        <f t="shared" si="12"/>
        <v>704</v>
      </c>
    </row>
    <row r="267" spans="1:7" ht="15" x14ac:dyDescent="0.15">
      <c r="A267" s="54"/>
      <c r="B267" s="8"/>
      <c r="C267" s="19" t="s">
        <v>35</v>
      </c>
      <c r="D267" s="55"/>
      <c r="E267" s="14"/>
      <c r="F267" s="62"/>
      <c r="G267" s="21">
        <f>SUM(G159:G266)</f>
        <v>323368234.25116599</v>
      </c>
    </row>
    <row r="268" spans="1:7" ht="15" x14ac:dyDescent="0.15">
      <c r="A268" s="54" t="s">
        <v>277</v>
      </c>
      <c r="B268" s="72"/>
      <c r="C268" s="19" t="s">
        <v>278</v>
      </c>
      <c r="D268" s="72"/>
      <c r="E268" s="14"/>
      <c r="F268" s="15"/>
      <c r="G268" s="21"/>
    </row>
    <row r="269" spans="1:7" ht="30" x14ac:dyDescent="0.15">
      <c r="A269" s="24">
        <v>9.01</v>
      </c>
      <c r="B269" s="73"/>
      <c r="C269" s="18" t="s">
        <v>279</v>
      </c>
      <c r="D269" s="50"/>
      <c r="E269" s="14"/>
      <c r="F269" s="15"/>
      <c r="G269" s="16"/>
    </row>
    <row r="270" spans="1:7" ht="15" x14ac:dyDescent="0.15">
      <c r="A270" s="24"/>
      <c r="B270" s="73"/>
      <c r="C270" s="18" t="s">
        <v>280</v>
      </c>
      <c r="D270" s="13" t="s">
        <v>26</v>
      </c>
      <c r="E270" s="14">
        <f>[1]DOQ!I516</f>
        <v>0</v>
      </c>
      <c r="F270" s="15"/>
      <c r="G270" s="16">
        <f t="shared" ref="G270:G277" si="14">E270*F270</f>
        <v>0</v>
      </c>
    </row>
    <row r="271" spans="1:7" ht="15" x14ac:dyDescent="0.15">
      <c r="A271" s="24"/>
      <c r="B271" s="73"/>
      <c r="C271" s="18" t="s">
        <v>281</v>
      </c>
      <c r="D271" s="13" t="s">
        <v>26</v>
      </c>
      <c r="E271" s="14">
        <v>0</v>
      </c>
      <c r="F271" s="15"/>
      <c r="G271" s="16">
        <f t="shared" si="14"/>
        <v>0</v>
      </c>
    </row>
    <row r="272" spans="1:7" ht="60" x14ac:dyDescent="0.15">
      <c r="A272" s="24">
        <f>A269+0.01</f>
        <v>9.02</v>
      </c>
      <c r="B272" s="73"/>
      <c r="C272" s="18" t="s">
        <v>282</v>
      </c>
      <c r="D272" s="13" t="s">
        <v>15</v>
      </c>
      <c r="E272" s="14">
        <f>SUM(E6:E9)*2*0</f>
        <v>0</v>
      </c>
      <c r="F272" s="15">
        <f>'[2]Full Summary'!$D$434</f>
        <v>1171</v>
      </c>
      <c r="G272" s="16">
        <f t="shared" si="14"/>
        <v>0</v>
      </c>
    </row>
    <row r="273" spans="1:9" ht="15" x14ac:dyDescent="0.15">
      <c r="A273" s="24">
        <f>A272+0.01</f>
        <v>9.0299999999999994</v>
      </c>
      <c r="B273" s="58"/>
      <c r="C273" s="18" t="s">
        <v>283</v>
      </c>
      <c r="D273" s="13" t="s">
        <v>26</v>
      </c>
      <c r="E273" s="14">
        <f>[1]DOQ!I520</f>
        <v>0</v>
      </c>
      <c r="F273" s="15">
        <f>'[2]Full Summary'!$D$1088</f>
        <v>2074</v>
      </c>
      <c r="G273" s="16">
        <f t="shared" si="14"/>
        <v>0</v>
      </c>
    </row>
    <row r="274" spans="1:9" ht="15" x14ac:dyDescent="0.15">
      <c r="A274" s="24">
        <f>A273+0.01</f>
        <v>9.0399999999999991</v>
      </c>
      <c r="B274" s="58"/>
      <c r="C274" s="74" t="s">
        <v>284</v>
      </c>
      <c r="D274" s="13" t="s">
        <v>21</v>
      </c>
      <c r="E274" s="14">
        <f>[1]DOQ!I521</f>
        <v>4275</v>
      </c>
      <c r="F274" s="15">
        <f>+'[2]Rate of Material'!$D$26+'[2]Rate of Material'!$I$26+'[2]Lead Charges'!$H$20</f>
        <v>662.3</v>
      </c>
      <c r="G274" s="16">
        <f t="shared" si="14"/>
        <v>2831332.5</v>
      </c>
    </row>
    <row r="275" spans="1:9" ht="15" x14ac:dyDescent="0.15">
      <c r="A275" s="24">
        <f>A274+0.01</f>
        <v>9.0499999999999989</v>
      </c>
      <c r="B275" s="58"/>
      <c r="C275" s="74" t="s">
        <v>285</v>
      </c>
      <c r="D275" s="13" t="s">
        <v>58</v>
      </c>
      <c r="E275" s="14">
        <f>[1]DOQ!I522</f>
        <v>17100</v>
      </c>
      <c r="F275" s="15">
        <v>900</v>
      </c>
      <c r="G275" s="16">
        <f t="shared" si="14"/>
        <v>15390000</v>
      </c>
    </row>
    <row r="276" spans="1:9" ht="15" x14ac:dyDescent="0.15">
      <c r="A276" s="24">
        <f>A275+0.01</f>
        <v>9.0599999999999987</v>
      </c>
      <c r="B276" s="58"/>
      <c r="C276" s="74" t="s">
        <v>286</v>
      </c>
      <c r="D276" s="13" t="s">
        <v>15</v>
      </c>
      <c r="E276" s="14">
        <f>+[1]Quantity!AY5571</f>
        <v>3807</v>
      </c>
      <c r="F276" s="15">
        <v>700</v>
      </c>
      <c r="G276" s="16">
        <f t="shared" si="14"/>
        <v>2664900</v>
      </c>
    </row>
    <row r="277" spans="1:9" ht="15" x14ac:dyDescent="0.15">
      <c r="A277" s="24">
        <f>A276+0.01</f>
        <v>9.0699999999999985</v>
      </c>
      <c r="B277" s="58"/>
      <c r="C277" s="74" t="s">
        <v>287</v>
      </c>
      <c r="D277" s="13" t="s">
        <v>26</v>
      </c>
      <c r="E277" s="14">
        <f>[1]DOQ!I523</f>
        <v>11400</v>
      </c>
      <c r="F277" s="15">
        <f>'[2]Full Summary'!$D$1090</f>
        <v>2818</v>
      </c>
      <c r="G277" s="16">
        <f t="shared" si="14"/>
        <v>32125200</v>
      </c>
    </row>
    <row r="278" spans="1:9" ht="15" x14ac:dyDescent="0.15">
      <c r="A278" s="12"/>
      <c r="B278" s="75"/>
      <c r="C278" s="19" t="s">
        <v>35</v>
      </c>
      <c r="D278" s="75"/>
      <c r="E278" s="14"/>
      <c r="F278" s="15"/>
      <c r="G278" s="21">
        <f>SUM(G269:G277)</f>
        <v>53011432.5</v>
      </c>
    </row>
    <row r="279" spans="1:9" ht="15" x14ac:dyDescent="0.15">
      <c r="A279" s="12" t="s">
        <v>288</v>
      </c>
      <c r="B279" s="6"/>
      <c r="C279" s="7" t="s">
        <v>289</v>
      </c>
      <c r="D279" s="8"/>
      <c r="E279" s="14"/>
      <c r="F279" s="15"/>
      <c r="G279" s="21"/>
    </row>
    <row r="280" spans="1:9" ht="90" x14ac:dyDescent="0.15">
      <c r="A280" s="17">
        <v>10.01</v>
      </c>
      <c r="B280" s="13">
        <v>201</v>
      </c>
      <c r="C280" s="18" t="s">
        <v>10</v>
      </c>
      <c r="D280" s="13" t="s">
        <v>11</v>
      </c>
      <c r="E280" s="14">
        <f>'[1]Junction X'!H37+'[1]Minor T'!H37+'[1]Bus Bay'!J9+'[1]Bus Bay (4 Lane)'!J9+'[1]Truck Laybay'!J16+'[1]Major  T'!H37</f>
        <v>3.5903700000000001</v>
      </c>
      <c r="F280" s="15">
        <f>F4</f>
        <v>33362</v>
      </c>
      <c r="G280" s="16">
        <f t="shared" ref="G280:G286" si="15">E280*F280</f>
        <v>119781.92394000001</v>
      </c>
      <c r="I280" s="4">
        <f t="shared" ref="I280:I293" si="16">G280/10^7</f>
        <v>1.1978192394000001E-2</v>
      </c>
    </row>
    <row r="281" spans="1:9" ht="150" x14ac:dyDescent="0.15">
      <c r="A281" s="17">
        <f t="shared" ref="A281:A287" si="17">A280+0.01</f>
        <v>10.02</v>
      </c>
      <c r="B281" s="13">
        <v>305</v>
      </c>
      <c r="C281" s="18" t="s">
        <v>44</v>
      </c>
      <c r="D281" s="13" t="s">
        <v>21</v>
      </c>
      <c r="E281" s="14">
        <f>'[1]Junction X'!H39+'[1]Minor T'!H39+'[1]Major  T'!H39+'[1]Bus Bay'!J50+'[1]Bus Bay (4 Lane)'!J50+'[1]Truck Laybay'!J73</f>
        <v>18080.52</v>
      </c>
      <c r="F281" s="15">
        <f>F31</f>
        <v>330</v>
      </c>
      <c r="G281" s="16">
        <f t="shared" si="15"/>
        <v>5966571.6000000006</v>
      </c>
      <c r="I281" s="4">
        <f t="shared" si="16"/>
        <v>0.59665716000000002</v>
      </c>
    </row>
    <row r="282" spans="1:9" ht="90" x14ac:dyDescent="0.15">
      <c r="A282" s="17">
        <f t="shared" si="17"/>
        <v>10.029999999999999</v>
      </c>
      <c r="B282" s="13">
        <v>305</v>
      </c>
      <c r="C282" s="18" t="s">
        <v>49</v>
      </c>
      <c r="D282" s="13" t="s">
        <v>21</v>
      </c>
      <c r="E282" s="14">
        <f>'[1]Junction X'!H19+'[1]Minor T'!H19+'[1]Major  T'!H19+'[1]Bus Bay'!J12+'[1]Bus Bay (4 Lane)'!J12+'[1]Truck Laybay'!J21</f>
        <v>17866.849999999999</v>
      </c>
      <c r="F282" s="15">
        <f>F35</f>
        <v>382</v>
      </c>
      <c r="G282" s="16">
        <f t="shared" si="15"/>
        <v>6825136.6999999993</v>
      </c>
      <c r="I282" s="4">
        <f t="shared" si="16"/>
        <v>0.68251366999999996</v>
      </c>
    </row>
    <row r="283" spans="1:9" ht="45" x14ac:dyDescent="0.15">
      <c r="A283" s="17">
        <f t="shared" si="17"/>
        <v>10.039999999999999</v>
      </c>
      <c r="B283" s="13"/>
      <c r="C283" s="18" t="s">
        <v>50</v>
      </c>
      <c r="D283" s="13" t="s">
        <v>21</v>
      </c>
      <c r="E283" s="14">
        <f>'[1]Junction X'!H35+'[1]Minor T'!H35+'[1]Major  T'!H35+'[1]Truck Laybay'!J52</f>
        <v>993.06299999999999</v>
      </c>
      <c r="F283" s="15">
        <f>F281</f>
        <v>330</v>
      </c>
      <c r="G283" s="16">
        <f t="shared" si="15"/>
        <v>327710.78999999998</v>
      </c>
      <c r="I283" s="4">
        <f t="shared" si="16"/>
        <v>3.2771078999999995E-2</v>
      </c>
    </row>
    <row r="284" spans="1:9" ht="90" x14ac:dyDescent="0.15">
      <c r="A284" s="17">
        <f t="shared" si="17"/>
        <v>10.049999999999999</v>
      </c>
      <c r="B284" s="13">
        <v>401</v>
      </c>
      <c r="C284" s="18" t="s">
        <v>53</v>
      </c>
      <c r="D284" s="13" t="s">
        <v>21</v>
      </c>
      <c r="E284" s="14">
        <f>'[1]Junction X'!H21+'[1]Minor T'!H21+'[1]Major  T'!H21+'[1]Bus Bay'!J15+'[1]Bus Bay (4 Lane)'!J15+'[1]Truck Laybay'!J26</f>
        <v>9028.9619999999995</v>
      </c>
      <c r="F284" s="15">
        <f>F39</f>
        <v>2165</v>
      </c>
      <c r="G284" s="16">
        <f t="shared" si="15"/>
        <v>19547702.73</v>
      </c>
      <c r="I284" s="4">
        <f t="shared" si="16"/>
        <v>1.9547702730000001</v>
      </c>
    </row>
    <row r="285" spans="1:9" ht="105" x14ac:dyDescent="0.15">
      <c r="A285" s="17">
        <f t="shared" si="17"/>
        <v>10.059999999999999</v>
      </c>
      <c r="B285" s="13">
        <v>406</v>
      </c>
      <c r="C285" s="18" t="s">
        <v>54</v>
      </c>
      <c r="D285" s="13" t="s">
        <v>21</v>
      </c>
      <c r="E285" s="14">
        <f>'[1]Junction X'!H23+'[1]Minor T'!H23+'[1]Major  T'!H23+'[1]Bus Bay'!J18+'[1]Bus Bay (4 Lane)'!J18+'[1]Truck Laybay'!J31</f>
        <v>5817.9250000000002</v>
      </c>
      <c r="F285" s="15">
        <f>F40</f>
        <v>2261</v>
      </c>
      <c r="G285" s="16">
        <f t="shared" si="15"/>
        <v>13154328.425000001</v>
      </c>
      <c r="I285" s="4">
        <f t="shared" si="16"/>
        <v>1.3154328425000001</v>
      </c>
    </row>
    <row r="286" spans="1:9" ht="60" x14ac:dyDescent="0.15">
      <c r="A286" s="17">
        <f t="shared" si="17"/>
        <v>10.069999999999999</v>
      </c>
      <c r="B286" s="13">
        <v>502</v>
      </c>
      <c r="C286" s="18" t="s">
        <v>57</v>
      </c>
      <c r="D286" s="13" t="s">
        <v>58</v>
      </c>
      <c r="E286" s="14">
        <f>'[1]Junction X'!H25+'[1]Minor T'!H25+'[1]Major  T'!H25+'[1]Bus Bay'!J27+'[1]Bus Bay (4 Lane)'!J27+'[1]Truck Laybay'!D37*'[1]Truck Laybay'!I39</f>
        <v>23271.7</v>
      </c>
      <c r="F286" s="15">
        <f>F44</f>
        <v>30</v>
      </c>
      <c r="G286" s="16">
        <f t="shared" si="15"/>
        <v>698151</v>
      </c>
      <c r="I286" s="4">
        <f t="shared" si="16"/>
        <v>6.9815100000000005E-2</v>
      </c>
    </row>
    <row r="287" spans="1:9" ht="45" x14ac:dyDescent="0.15">
      <c r="A287" s="17">
        <f t="shared" si="17"/>
        <v>10.079999999999998</v>
      </c>
      <c r="B287" s="13">
        <v>503</v>
      </c>
      <c r="C287" s="18" t="s">
        <v>59</v>
      </c>
      <c r="D287" s="13"/>
      <c r="E287" s="14"/>
      <c r="F287" s="15"/>
      <c r="G287" s="16"/>
      <c r="I287" s="4">
        <f t="shared" si="16"/>
        <v>0</v>
      </c>
    </row>
    <row r="288" spans="1:9" ht="15" x14ac:dyDescent="0.15">
      <c r="A288" s="17"/>
      <c r="B288" s="13"/>
      <c r="C288" s="18" t="s">
        <v>60</v>
      </c>
      <c r="D288" s="13" t="s">
        <v>58</v>
      </c>
      <c r="E288" s="14">
        <f>'[1]Junction X'!H27+'[1]Minor T'!H27+'[1]Major  T'!H27+'[1]Bus Bay'!J30+'[1]Bus Bay (4 Lane)'!J30+'[1]Truck Laybay'!D37*'[1]Truck Laybay'!I39</f>
        <v>44163.4</v>
      </c>
      <c r="F288" s="15">
        <f>F46</f>
        <v>11</v>
      </c>
      <c r="G288" s="16">
        <f>E288*F288</f>
        <v>485797.4</v>
      </c>
      <c r="I288" s="4">
        <f t="shared" si="16"/>
        <v>4.8579740000000003E-2</v>
      </c>
    </row>
    <row r="289" spans="1:11" ht="120" x14ac:dyDescent="0.15">
      <c r="A289" s="17">
        <f>A287+0.01</f>
        <v>10.089999999999998</v>
      </c>
      <c r="B289" s="13">
        <v>507</v>
      </c>
      <c r="C289" s="18" t="s">
        <v>61</v>
      </c>
      <c r="D289" s="13" t="s">
        <v>21</v>
      </c>
      <c r="E289" s="14">
        <f>'[1]Junction X'!H31+'[1]Minor T'!H31+'[1]Major  T'!H31+'[1]Bus Bay'!J21+'[1]Bus Bay (4 Lane)'!J21+'[1]Truck Laybay'!J35</f>
        <v>1329.7114999999999</v>
      </c>
      <c r="F289" s="15">
        <f>F49</f>
        <v>8280.8000000000011</v>
      </c>
      <c r="G289" s="16">
        <f>E289*F289</f>
        <v>11011074.9892</v>
      </c>
      <c r="I289" s="4">
        <f t="shared" si="16"/>
        <v>1.10110749892</v>
      </c>
    </row>
    <row r="290" spans="1:11" ht="120" x14ac:dyDescent="0.15">
      <c r="A290" s="17">
        <f>A289+0.01</f>
        <v>10.099999999999998</v>
      </c>
      <c r="B290" s="13" t="s">
        <v>64</v>
      </c>
      <c r="C290" s="18" t="s">
        <v>290</v>
      </c>
      <c r="D290" s="13" t="s">
        <v>21</v>
      </c>
      <c r="E290" s="14">
        <f>'[1]Junction X'!H29+'[1]Minor T'!H29+'[1]Bus Bay'!J24+'[1]Bus Bay (4 Lane)'!J24+'[1]Truck Laybay'!J40+'[1]Major  T'!H29</f>
        <v>907.06799999999998</v>
      </c>
      <c r="F290" s="15">
        <f>F52</f>
        <v>9291.7000000000007</v>
      </c>
      <c r="G290" s="16">
        <f>E290*F290</f>
        <v>8428203.7356000002</v>
      </c>
      <c r="I290" s="4">
        <f t="shared" si="16"/>
        <v>0.84282037356000006</v>
      </c>
    </row>
    <row r="291" spans="1:11" ht="75" x14ac:dyDescent="0.15">
      <c r="A291" s="17">
        <f>A290+0.01</f>
        <v>10.109999999999998</v>
      </c>
      <c r="B291" s="13">
        <v>803</v>
      </c>
      <c r="C291" s="18" t="s">
        <v>123</v>
      </c>
      <c r="D291" s="13" t="s">
        <v>58</v>
      </c>
      <c r="E291" s="14">
        <f>SUM('[1]Junction X'!H52:H57)+SUM('[1]Minor T'!H52:H57)+'[1]Bus Bay'!J46+'[1]Bus Bay (4 Lane)'!J46+SUM('[1]Major  T'!H52:H57)+'[1]Summary Toll'!F13</f>
        <v>1038.58</v>
      </c>
      <c r="F291" s="15">
        <f>F109</f>
        <v>633</v>
      </c>
      <c r="G291" s="16">
        <f>E291*F291</f>
        <v>657421.1399999999</v>
      </c>
      <c r="I291" s="4">
        <f t="shared" si="16"/>
        <v>6.574211399999999E-2</v>
      </c>
    </row>
    <row r="292" spans="1:11" ht="60" x14ac:dyDescent="0.15">
      <c r="A292" s="17">
        <f>A291+0.01</f>
        <v>10.119999999999997</v>
      </c>
      <c r="B292" s="13"/>
      <c r="C292" s="18" t="s">
        <v>169</v>
      </c>
      <c r="D292" s="13" t="s">
        <v>26</v>
      </c>
      <c r="E292" s="14">
        <f>'[1]Junction X'!H41+'[1]Minor T'!H41+'[1]Major  T'!H41+'[1]Bus Bay'!J38+'[1]Bus Bay (4 Lane)'!J38+'[1]Truck Laybay'!J48+'[1]Summary Toll'!F22</f>
        <v>5665.2718407455304</v>
      </c>
      <c r="F292" s="15">
        <f>F124</f>
        <v>405</v>
      </c>
      <c r="G292" s="16">
        <f>E292*F292</f>
        <v>2294435.0955019398</v>
      </c>
      <c r="I292" s="4">
        <f t="shared" si="16"/>
        <v>0.22944350955019396</v>
      </c>
    </row>
    <row r="293" spans="1:11" ht="30" x14ac:dyDescent="0.15">
      <c r="A293" s="76">
        <f>A292+0.01</f>
        <v>10.129999999999997</v>
      </c>
      <c r="B293" s="73"/>
      <c r="C293" s="18" t="s">
        <v>291</v>
      </c>
      <c r="D293" s="50"/>
      <c r="E293" s="14"/>
      <c r="F293" s="15"/>
      <c r="G293" s="16"/>
      <c r="I293" s="4">
        <f t="shared" si="16"/>
        <v>0</v>
      </c>
      <c r="K293" s="4">
        <v>1</v>
      </c>
    </row>
    <row r="294" spans="1:11" ht="15" x14ac:dyDescent="0.15">
      <c r="A294" s="24"/>
      <c r="B294" s="73"/>
      <c r="C294" s="18" t="s">
        <v>292</v>
      </c>
      <c r="D294" s="13" t="s">
        <v>26</v>
      </c>
      <c r="E294" s="14">
        <f>'[1]Junction X'!H59+'[1]Minor T'!H59+'[1]Major  T'!H59</f>
        <v>295</v>
      </c>
      <c r="F294" s="15">
        <f>'[2]Full Summary'!$D$384</f>
        <v>10174</v>
      </c>
      <c r="G294" s="16">
        <f>E294*F294</f>
        <v>3001330</v>
      </c>
      <c r="I294" s="4">
        <f>G294/10^7</f>
        <v>0.30013299999999998</v>
      </c>
    </row>
    <row r="295" spans="1:11" ht="15" hidden="1" x14ac:dyDescent="0.15">
      <c r="A295" s="24"/>
      <c r="B295" s="73"/>
      <c r="C295" s="18" t="s">
        <v>293</v>
      </c>
      <c r="D295" s="13" t="s">
        <v>15</v>
      </c>
      <c r="E295" s="14">
        <v>0</v>
      </c>
      <c r="F295" s="15">
        <v>450000</v>
      </c>
      <c r="G295" s="16">
        <f t="shared" ref="G295:G296" si="18">E295*F295</f>
        <v>0</v>
      </c>
    </row>
    <row r="296" spans="1:11" ht="15" hidden="1" x14ac:dyDescent="0.15">
      <c r="A296" s="24"/>
      <c r="B296" s="73"/>
      <c r="C296" s="18" t="s">
        <v>294</v>
      </c>
      <c r="D296" s="13" t="s">
        <v>15</v>
      </c>
      <c r="E296" s="14">
        <v>0</v>
      </c>
      <c r="F296" s="15">
        <v>40000</v>
      </c>
      <c r="G296" s="16">
        <f t="shared" si="18"/>
        <v>0</v>
      </c>
    </row>
    <row r="297" spans="1:11" x14ac:dyDescent="0.15">
      <c r="A297" s="24"/>
      <c r="B297" s="73"/>
      <c r="C297" s="18"/>
      <c r="D297" s="13"/>
      <c r="E297" s="14"/>
      <c r="F297" s="15"/>
      <c r="G297" s="16"/>
    </row>
    <row r="298" spans="1:11" ht="15" x14ac:dyDescent="0.15">
      <c r="A298" s="24"/>
      <c r="B298" s="73"/>
      <c r="C298" s="19" t="s">
        <v>35</v>
      </c>
      <c r="D298" s="72"/>
      <c r="E298" s="14"/>
      <c r="F298" s="15"/>
      <c r="G298" s="21">
        <f>SUM(G280:G296)</f>
        <v>72517645.529241934</v>
      </c>
      <c r="I298" s="77" t="e">
        <f>[7]Summary!#REF!+[7]Summary!#REF!+[7]Summary!#REF!</f>
        <v>#REF!</v>
      </c>
      <c r="J298" s="77" t="e">
        <f>I298-G298</f>
        <v>#REF!</v>
      </c>
    </row>
    <row r="299" spans="1:11" ht="15" x14ac:dyDescent="0.15">
      <c r="A299" s="78" t="s">
        <v>295</v>
      </c>
      <c r="B299" s="13"/>
      <c r="C299" s="19" t="s">
        <v>296</v>
      </c>
      <c r="D299" s="50"/>
      <c r="E299" s="14"/>
      <c r="F299" s="79"/>
      <c r="G299" s="80"/>
    </row>
    <row r="300" spans="1:11" ht="15" x14ac:dyDescent="0.15">
      <c r="A300" s="58"/>
      <c r="B300" s="13"/>
      <c r="C300" s="19" t="s">
        <v>297</v>
      </c>
      <c r="D300" s="50"/>
      <c r="E300" s="14"/>
      <c r="F300" s="79"/>
      <c r="G300" s="80"/>
    </row>
    <row r="301" spans="1:11" ht="60" x14ac:dyDescent="0.15">
      <c r="A301" s="13">
        <v>11.01</v>
      </c>
      <c r="B301" s="13"/>
      <c r="C301" s="18" t="s">
        <v>298</v>
      </c>
      <c r="D301" s="50" t="s">
        <v>58</v>
      </c>
      <c r="E301" s="14">
        <f>'[1]Summary Toll'!F11</f>
        <v>1020.0000000000001</v>
      </c>
      <c r="F301" s="79">
        <v>3000</v>
      </c>
      <c r="G301" s="16">
        <f>E301*F301</f>
        <v>3060000.0000000005</v>
      </c>
      <c r="I301" s="4">
        <f>+G301/10^7</f>
        <v>0.30600000000000005</v>
      </c>
    </row>
    <row r="302" spans="1:11" ht="15" x14ac:dyDescent="0.15">
      <c r="A302" s="13">
        <f>A301+0.01</f>
        <v>11.02</v>
      </c>
      <c r="B302" s="13"/>
      <c r="C302" s="18" t="s">
        <v>299</v>
      </c>
      <c r="D302" s="50" t="s">
        <v>300</v>
      </c>
      <c r="E302" s="14"/>
      <c r="F302" s="79"/>
      <c r="G302" s="16">
        <f>E302*F302</f>
        <v>0</v>
      </c>
      <c r="I302" s="4">
        <f t="shared" ref="I302:I343" si="19">+G302/10^7</f>
        <v>0</v>
      </c>
    </row>
    <row r="303" spans="1:11" ht="30" x14ac:dyDescent="0.15">
      <c r="A303" s="13">
        <f>A302+0.01</f>
        <v>11.03</v>
      </c>
      <c r="B303" s="13"/>
      <c r="C303" s="18" t="s">
        <v>301</v>
      </c>
      <c r="D303" s="50" t="s">
        <v>302</v>
      </c>
      <c r="E303" s="14">
        <f>'[1]Summary Toll'!$F$25</f>
        <v>45.000000000000007</v>
      </c>
      <c r="F303" s="79">
        <v>65000</v>
      </c>
      <c r="G303" s="16">
        <f t="shared" ref="G303:G333" si="20">E303*F303</f>
        <v>2925000.0000000005</v>
      </c>
      <c r="I303" s="4">
        <f t="shared" si="19"/>
        <v>0.29250000000000004</v>
      </c>
    </row>
    <row r="304" spans="1:11" ht="60" x14ac:dyDescent="0.15">
      <c r="A304" s="13">
        <f>A303+0.01</f>
        <v>11.04</v>
      </c>
      <c r="B304" s="13"/>
      <c r="C304" s="18" t="s">
        <v>303</v>
      </c>
      <c r="D304" s="50" t="s">
        <v>304</v>
      </c>
      <c r="E304" s="14">
        <f>7</f>
        <v>7</v>
      </c>
      <c r="F304" s="79">
        <v>50000</v>
      </c>
      <c r="G304" s="16">
        <f t="shared" si="20"/>
        <v>350000</v>
      </c>
      <c r="I304" s="4">
        <f t="shared" si="19"/>
        <v>3.5000000000000003E-2</v>
      </c>
    </row>
    <row r="305" spans="1:9" ht="30" x14ac:dyDescent="0.15">
      <c r="A305" s="13">
        <f>A304+0.01</f>
        <v>11.049999999999999</v>
      </c>
      <c r="B305" s="13"/>
      <c r="C305" s="18" t="s">
        <v>305</v>
      </c>
      <c r="D305" s="50" t="s">
        <v>306</v>
      </c>
      <c r="E305" s="14">
        <f>SUM('[1]Summary Toll'!$F$15:$F$21)</f>
        <v>16</v>
      </c>
      <c r="F305" s="79">
        <v>40000</v>
      </c>
      <c r="G305" s="16">
        <f t="shared" si="20"/>
        <v>640000</v>
      </c>
      <c r="I305" s="4">
        <f t="shared" si="19"/>
        <v>6.4000000000000001E-2</v>
      </c>
    </row>
    <row r="306" spans="1:9" ht="15" x14ac:dyDescent="0.15">
      <c r="A306" s="13">
        <f>A305+0.01</f>
        <v>11.059999999999999</v>
      </c>
      <c r="B306" s="13"/>
      <c r="C306" s="18" t="s">
        <v>307</v>
      </c>
      <c r="D306" s="50"/>
      <c r="E306" s="14"/>
      <c r="F306" s="79"/>
      <c r="G306" s="16"/>
      <c r="I306" s="4">
        <f t="shared" si="19"/>
        <v>0</v>
      </c>
    </row>
    <row r="307" spans="1:9" ht="90" x14ac:dyDescent="0.15">
      <c r="A307" s="13"/>
      <c r="B307" s="13"/>
      <c r="C307" s="18" t="s">
        <v>308</v>
      </c>
      <c r="D307" s="50" t="s">
        <v>306</v>
      </c>
      <c r="E307" s="14">
        <f>14</f>
        <v>14</v>
      </c>
      <c r="F307" s="79">
        <v>50000</v>
      </c>
      <c r="G307" s="16">
        <f t="shared" si="20"/>
        <v>700000</v>
      </c>
      <c r="I307" s="4">
        <f t="shared" si="19"/>
        <v>7.0000000000000007E-2</v>
      </c>
    </row>
    <row r="308" spans="1:9" ht="90" x14ac:dyDescent="0.15">
      <c r="A308" s="13"/>
      <c r="B308" s="13"/>
      <c r="C308" s="18" t="s">
        <v>309</v>
      </c>
      <c r="D308" s="50" t="s">
        <v>306</v>
      </c>
      <c r="E308" s="14">
        <v>1</v>
      </c>
      <c r="F308" s="79">
        <v>75000</v>
      </c>
      <c r="G308" s="16">
        <f t="shared" si="20"/>
        <v>75000</v>
      </c>
      <c r="I308" s="4">
        <f t="shared" si="19"/>
        <v>7.4999999999999997E-3</v>
      </c>
    </row>
    <row r="309" spans="1:9" ht="15" x14ac:dyDescent="0.15">
      <c r="A309" s="13">
        <f>A306+0.01</f>
        <v>11.069999999999999</v>
      </c>
      <c r="B309" s="13"/>
      <c r="C309" s="18" t="s">
        <v>310</v>
      </c>
      <c r="D309" s="50"/>
      <c r="E309" s="14"/>
      <c r="F309" s="79"/>
      <c r="G309" s="16"/>
      <c r="I309" s="4">
        <f t="shared" si="19"/>
        <v>0</v>
      </c>
    </row>
    <row r="310" spans="1:9" ht="30" x14ac:dyDescent="0.15">
      <c r="A310" s="13"/>
      <c r="B310" s="13"/>
      <c r="C310" s="18" t="s">
        <v>311</v>
      </c>
      <c r="D310" s="50"/>
      <c r="E310" s="14"/>
      <c r="F310" s="79"/>
      <c r="G310" s="16"/>
      <c r="I310" s="4">
        <f t="shared" si="19"/>
        <v>0</v>
      </c>
    </row>
    <row r="311" spans="1:9" ht="15" x14ac:dyDescent="0.15">
      <c r="A311" s="13"/>
      <c r="B311" s="13"/>
      <c r="C311" s="18" t="s">
        <v>312</v>
      </c>
      <c r="D311" s="50"/>
      <c r="E311" s="14"/>
      <c r="F311" s="79"/>
      <c r="G311" s="16"/>
      <c r="I311" s="4">
        <f t="shared" si="19"/>
        <v>0</v>
      </c>
    </row>
    <row r="312" spans="1:9" ht="15" x14ac:dyDescent="0.15">
      <c r="A312" s="13"/>
      <c r="B312" s="13"/>
      <c r="C312" s="18"/>
      <c r="D312" s="50" t="s">
        <v>88</v>
      </c>
      <c r="E312" s="14"/>
      <c r="F312" s="79"/>
      <c r="G312" s="16">
        <f t="shared" si="20"/>
        <v>0</v>
      </c>
      <c r="I312" s="4">
        <f t="shared" si="19"/>
        <v>0</v>
      </c>
    </row>
    <row r="313" spans="1:9" ht="15" x14ac:dyDescent="0.15">
      <c r="A313" s="13">
        <f>A309+0.01</f>
        <v>11.079999999999998</v>
      </c>
      <c r="B313" s="13"/>
      <c r="C313" s="18" t="s">
        <v>313</v>
      </c>
      <c r="D313" s="50"/>
      <c r="E313" s="14"/>
      <c r="F313" s="79"/>
      <c r="G313" s="16"/>
      <c r="I313" s="4">
        <f t="shared" si="19"/>
        <v>0</v>
      </c>
    </row>
    <row r="314" spans="1:9" ht="30" x14ac:dyDescent="0.15">
      <c r="A314" s="13"/>
      <c r="B314" s="13"/>
      <c r="C314" s="18" t="s">
        <v>314</v>
      </c>
      <c r="D314" s="50" t="s">
        <v>315</v>
      </c>
      <c r="E314" s="14">
        <v>2</v>
      </c>
      <c r="F314" s="79">
        <v>1000000</v>
      </c>
      <c r="G314" s="16">
        <f t="shared" si="20"/>
        <v>2000000</v>
      </c>
      <c r="I314" s="4">
        <f t="shared" si="19"/>
        <v>0.2</v>
      </c>
    </row>
    <row r="315" spans="1:9" ht="30" x14ac:dyDescent="0.15">
      <c r="A315" s="13"/>
      <c r="B315" s="13"/>
      <c r="C315" s="18" t="s">
        <v>316</v>
      </c>
      <c r="D315" s="50" t="s">
        <v>317</v>
      </c>
      <c r="E315" s="14">
        <v>2</v>
      </c>
      <c r="F315" s="79">
        <v>1000000</v>
      </c>
      <c r="G315" s="16">
        <f t="shared" si="20"/>
        <v>2000000</v>
      </c>
      <c r="I315" s="4">
        <f t="shared" si="19"/>
        <v>0.2</v>
      </c>
    </row>
    <row r="316" spans="1:9" ht="30" x14ac:dyDescent="0.15">
      <c r="A316" s="13"/>
      <c r="B316" s="13"/>
      <c r="C316" s="18" t="s">
        <v>318</v>
      </c>
      <c r="D316" s="50" t="s">
        <v>317</v>
      </c>
      <c r="E316" s="14">
        <f>4</f>
        <v>4</v>
      </c>
      <c r="F316" s="79">
        <v>500000</v>
      </c>
      <c r="G316" s="16">
        <f t="shared" si="20"/>
        <v>2000000</v>
      </c>
      <c r="I316" s="4">
        <f t="shared" si="19"/>
        <v>0.2</v>
      </c>
    </row>
    <row r="317" spans="1:9" ht="75.75" customHeight="1" x14ac:dyDescent="0.15">
      <c r="A317" s="13"/>
      <c r="B317" s="13"/>
      <c r="C317" s="18" t="s">
        <v>319</v>
      </c>
      <c r="D317" s="50" t="s">
        <v>94</v>
      </c>
      <c r="E317" s="14">
        <v>1</v>
      </c>
      <c r="F317" s="79">
        <v>20000000</v>
      </c>
      <c r="G317" s="16">
        <f t="shared" si="20"/>
        <v>20000000</v>
      </c>
      <c r="I317" s="4" t="s">
        <v>320</v>
      </c>
    </row>
    <row r="318" spans="1:9" ht="15" x14ac:dyDescent="0.15">
      <c r="A318" s="13"/>
      <c r="B318" s="13"/>
      <c r="C318" s="18" t="s">
        <v>321</v>
      </c>
      <c r="D318" s="50" t="s">
        <v>94</v>
      </c>
      <c r="E318" s="14">
        <v>8</v>
      </c>
      <c r="F318" s="79">
        <v>800000</v>
      </c>
      <c r="G318" s="16">
        <f t="shared" si="20"/>
        <v>6400000</v>
      </c>
      <c r="I318" s="4">
        <f t="shared" si="19"/>
        <v>0.64</v>
      </c>
    </row>
    <row r="319" spans="1:9" ht="15" x14ac:dyDescent="0.15">
      <c r="A319" s="13"/>
      <c r="B319" s="13"/>
      <c r="C319" s="18" t="s">
        <v>322</v>
      </c>
      <c r="D319" s="50" t="s">
        <v>94</v>
      </c>
      <c r="E319" s="14">
        <v>2</v>
      </c>
      <c r="F319" s="79">
        <v>800000</v>
      </c>
      <c r="G319" s="16">
        <f t="shared" si="20"/>
        <v>1600000</v>
      </c>
      <c r="I319" s="4">
        <f t="shared" si="19"/>
        <v>0.16</v>
      </c>
    </row>
    <row r="320" spans="1:9" ht="30" x14ac:dyDescent="0.15">
      <c r="A320" s="13"/>
      <c r="B320" s="13"/>
      <c r="C320" s="18" t="s">
        <v>323</v>
      </c>
      <c r="D320" s="50" t="s">
        <v>324</v>
      </c>
      <c r="E320" s="14">
        <v>1</v>
      </c>
      <c r="F320" s="81">
        <v>1000000</v>
      </c>
      <c r="G320" s="16">
        <f t="shared" si="20"/>
        <v>1000000</v>
      </c>
      <c r="I320" s="4">
        <f t="shared" si="19"/>
        <v>0.1</v>
      </c>
    </row>
    <row r="321" spans="1:9" ht="15" x14ac:dyDescent="0.15">
      <c r="A321" s="13"/>
      <c r="B321" s="13"/>
      <c r="C321" s="18" t="s">
        <v>325</v>
      </c>
      <c r="D321" s="50" t="s">
        <v>94</v>
      </c>
      <c r="E321" s="14">
        <v>8</v>
      </c>
      <c r="F321" s="81">
        <v>1000000</v>
      </c>
      <c r="G321" s="16">
        <f t="shared" si="20"/>
        <v>8000000</v>
      </c>
      <c r="I321" s="4">
        <f t="shared" si="19"/>
        <v>0.8</v>
      </c>
    </row>
    <row r="322" spans="1:9" ht="30" x14ac:dyDescent="0.15">
      <c r="A322" s="13"/>
      <c r="B322" s="13"/>
      <c r="C322" s="18" t="s">
        <v>326</v>
      </c>
      <c r="D322" s="50" t="s">
        <v>324</v>
      </c>
      <c r="E322" s="14"/>
      <c r="F322" s="81"/>
      <c r="G322" s="16">
        <f t="shared" si="20"/>
        <v>0</v>
      </c>
      <c r="I322" s="4">
        <f t="shared" si="19"/>
        <v>0</v>
      </c>
    </row>
    <row r="323" spans="1:9" ht="15" x14ac:dyDescent="0.15">
      <c r="A323" s="13">
        <f>A313+0.01</f>
        <v>11.089999999999998</v>
      </c>
      <c r="B323" s="13"/>
      <c r="C323" s="18" t="s">
        <v>327</v>
      </c>
      <c r="D323" s="50" t="s">
        <v>306</v>
      </c>
      <c r="E323" s="14">
        <v>1</v>
      </c>
      <c r="F323" s="82">
        <v>1000000</v>
      </c>
      <c r="G323" s="16">
        <f t="shared" si="20"/>
        <v>1000000</v>
      </c>
      <c r="I323" s="4">
        <f t="shared" si="19"/>
        <v>0.1</v>
      </c>
    </row>
    <row r="324" spans="1:9" ht="60" x14ac:dyDescent="0.15">
      <c r="A324" s="50">
        <f t="shared" ref="A324:A330" si="21">A323+0.01</f>
        <v>11.099999999999998</v>
      </c>
      <c r="B324" s="13"/>
      <c r="C324" s="18" t="s">
        <v>328</v>
      </c>
      <c r="D324" s="50" t="s">
        <v>306</v>
      </c>
      <c r="E324" s="14">
        <v>2</v>
      </c>
      <c r="F324" s="81">
        <v>600000</v>
      </c>
      <c r="G324" s="16">
        <f t="shared" si="20"/>
        <v>1200000</v>
      </c>
      <c r="I324" s="4">
        <f t="shared" si="19"/>
        <v>0.12</v>
      </c>
    </row>
    <row r="325" spans="1:9" ht="75" x14ac:dyDescent="0.15">
      <c r="A325" s="50">
        <f t="shared" si="21"/>
        <v>11.109999999999998</v>
      </c>
      <c r="B325" s="13"/>
      <c r="C325" s="18" t="s">
        <v>329</v>
      </c>
      <c r="D325" s="50" t="s">
        <v>58</v>
      </c>
      <c r="E325" s="14">
        <v>250</v>
      </c>
      <c r="F325" s="81">
        <v>12000</v>
      </c>
      <c r="G325" s="16">
        <f t="shared" si="20"/>
        <v>3000000</v>
      </c>
      <c r="I325" s="4">
        <f t="shared" si="19"/>
        <v>0.3</v>
      </c>
    </row>
    <row r="326" spans="1:9" ht="75" x14ac:dyDescent="0.15">
      <c r="A326" s="50">
        <f t="shared" si="21"/>
        <v>11.119999999999997</v>
      </c>
      <c r="B326" s="13"/>
      <c r="C326" s="18" t="s">
        <v>330</v>
      </c>
      <c r="D326" s="50" t="s">
        <v>58</v>
      </c>
      <c r="E326" s="14">
        <v>50</v>
      </c>
      <c r="F326" s="81">
        <v>12000</v>
      </c>
      <c r="G326" s="16">
        <f t="shared" si="20"/>
        <v>600000</v>
      </c>
      <c r="I326" s="4">
        <f t="shared" si="19"/>
        <v>0.06</v>
      </c>
    </row>
    <row r="327" spans="1:9" ht="75" x14ac:dyDescent="0.15">
      <c r="A327" s="50">
        <f t="shared" si="21"/>
        <v>11.129999999999997</v>
      </c>
      <c r="B327" s="13"/>
      <c r="C327" s="18" t="s">
        <v>331</v>
      </c>
      <c r="D327" s="50" t="s">
        <v>58</v>
      </c>
      <c r="E327" s="14">
        <v>50</v>
      </c>
      <c r="F327" s="81">
        <v>12000</v>
      </c>
      <c r="G327" s="16">
        <f t="shared" si="20"/>
        <v>600000</v>
      </c>
      <c r="I327" s="4">
        <f t="shared" si="19"/>
        <v>0.06</v>
      </c>
    </row>
    <row r="328" spans="1:9" ht="75" x14ac:dyDescent="0.15">
      <c r="A328" s="50">
        <f t="shared" si="21"/>
        <v>11.139999999999997</v>
      </c>
      <c r="B328" s="13"/>
      <c r="C328" s="18" t="s">
        <v>332</v>
      </c>
      <c r="D328" s="50" t="s">
        <v>58</v>
      </c>
      <c r="E328" s="14">
        <v>50</v>
      </c>
      <c r="F328" s="81">
        <v>12000</v>
      </c>
      <c r="G328" s="16">
        <f t="shared" si="20"/>
        <v>600000</v>
      </c>
      <c r="I328" s="4">
        <f t="shared" si="19"/>
        <v>0.06</v>
      </c>
    </row>
    <row r="329" spans="1:9" ht="75" x14ac:dyDescent="0.15">
      <c r="A329" s="50">
        <f t="shared" si="21"/>
        <v>11.149999999999997</v>
      </c>
      <c r="B329" s="13"/>
      <c r="C329" s="18" t="s">
        <v>333</v>
      </c>
      <c r="D329" s="50" t="s">
        <v>58</v>
      </c>
      <c r="E329" s="14">
        <v>200</v>
      </c>
      <c r="F329" s="81">
        <v>5000</v>
      </c>
      <c r="G329" s="16">
        <f t="shared" si="20"/>
        <v>1000000</v>
      </c>
      <c r="I329" s="4">
        <f t="shared" si="19"/>
        <v>0.1</v>
      </c>
    </row>
    <row r="330" spans="1:9" ht="15" x14ac:dyDescent="0.15">
      <c r="A330" s="50">
        <f t="shared" si="21"/>
        <v>11.159999999999997</v>
      </c>
      <c r="B330" s="13"/>
      <c r="C330" s="19" t="s">
        <v>334</v>
      </c>
      <c r="D330" s="50"/>
      <c r="E330" s="14"/>
      <c r="F330" s="81"/>
      <c r="G330" s="16"/>
      <c r="I330" s="4">
        <f t="shared" si="19"/>
        <v>0</v>
      </c>
    </row>
    <row r="331" spans="1:9" ht="15" x14ac:dyDescent="0.15">
      <c r="A331" s="13"/>
      <c r="B331" s="13"/>
      <c r="C331" s="18" t="s">
        <v>335</v>
      </c>
      <c r="D331" s="50" t="s">
        <v>306</v>
      </c>
      <c r="E331" s="14">
        <v>1</v>
      </c>
      <c r="F331" s="81">
        <v>800000</v>
      </c>
      <c r="G331" s="16">
        <f t="shared" si="20"/>
        <v>800000</v>
      </c>
      <c r="I331" s="4">
        <f t="shared" si="19"/>
        <v>0.08</v>
      </c>
    </row>
    <row r="332" spans="1:9" ht="15" x14ac:dyDescent="0.15">
      <c r="A332" s="13"/>
      <c r="B332" s="13"/>
      <c r="C332" s="18" t="s">
        <v>336</v>
      </c>
      <c r="D332" s="50" t="s">
        <v>306</v>
      </c>
      <c r="E332" s="14">
        <v>1</v>
      </c>
      <c r="F332" s="81">
        <v>2500000</v>
      </c>
      <c r="G332" s="16">
        <f t="shared" si="20"/>
        <v>2500000</v>
      </c>
      <c r="I332" s="4">
        <f t="shared" si="19"/>
        <v>0.25</v>
      </c>
    </row>
    <row r="333" spans="1:9" ht="15" x14ac:dyDescent="0.15">
      <c r="A333" s="13"/>
      <c r="B333" s="13"/>
      <c r="C333" s="18" t="s">
        <v>337</v>
      </c>
      <c r="D333" s="50" t="s">
        <v>306</v>
      </c>
      <c r="E333" s="14">
        <v>1</v>
      </c>
      <c r="F333" s="81">
        <v>600000</v>
      </c>
      <c r="G333" s="16">
        <f t="shared" si="20"/>
        <v>600000</v>
      </c>
      <c r="I333" s="4">
        <f t="shared" si="19"/>
        <v>0.06</v>
      </c>
    </row>
    <row r="334" spans="1:9" ht="60" x14ac:dyDescent="0.15">
      <c r="A334" s="50">
        <f>A330+0.01</f>
        <v>11.169999999999996</v>
      </c>
      <c r="B334" s="13"/>
      <c r="C334" s="18" t="s">
        <v>338</v>
      </c>
      <c r="D334" s="50" t="s">
        <v>94</v>
      </c>
      <c r="E334" s="14">
        <v>25</v>
      </c>
      <c r="F334" s="81">
        <v>5000</v>
      </c>
      <c r="G334" s="16">
        <f t="shared" ref="G334:G339" si="22">F334*E334</f>
        <v>125000</v>
      </c>
      <c r="I334" s="4">
        <f t="shared" si="19"/>
        <v>1.2500000000000001E-2</v>
      </c>
    </row>
    <row r="335" spans="1:9" ht="60" x14ac:dyDescent="0.15">
      <c r="A335" s="50">
        <f t="shared" ref="A335:A342" si="23">A334+0.01</f>
        <v>11.179999999999996</v>
      </c>
      <c r="B335" s="13"/>
      <c r="C335" s="18" t="s">
        <v>339</v>
      </c>
      <c r="D335" s="50" t="s">
        <v>94</v>
      </c>
      <c r="E335" s="14">
        <v>120</v>
      </c>
      <c r="F335" s="81">
        <v>5000</v>
      </c>
      <c r="G335" s="16">
        <f t="shared" si="22"/>
        <v>600000</v>
      </c>
      <c r="I335" s="4">
        <f t="shared" si="19"/>
        <v>0.06</v>
      </c>
    </row>
    <row r="336" spans="1:9" ht="15" x14ac:dyDescent="0.15">
      <c r="A336" s="50">
        <f t="shared" si="23"/>
        <v>11.189999999999996</v>
      </c>
      <c r="B336" s="13"/>
      <c r="C336" s="18" t="s">
        <v>340</v>
      </c>
      <c r="D336" s="50" t="s">
        <v>94</v>
      </c>
      <c r="E336" s="14">
        <v>1</v>
      </c>
      <c r="F336" s="81">
        <v>200000</v>
      </c>
      <c r="G336" s="16">
        <f t="shared" si="22"/>
        <v>200000</v>
      </c>
      <c r="I336" s="4">
        <f t="shared" si="19"/>
        <v>0.02</v>
      </c>
    </row>
    <row r="337" spans="1:9" ht="15" x14ac:dyDescent="0.15">
      <c r="A337" s="50">
        <f t="shared" si="23"/>
        <v>11.199999999999996</v>
      </c>
      <c r="B337" s="13"/>
      <c r="C337" s="18" t="s">
        <v>341</v>
      </c>
      <c r="D337" s="50" t="s">
        <v>342</v>
      </c>
      <c r="E337" s="14"/>
      <c r="F337" s="81"/>
      <c r="G337" s="16">
        <f t="shared" si="22"/>
        <v>0</v>
      </c>
      <c r="I337" s="4">
        <f t="shared" si="19"/>
        <v>0</v>
      </c>
    </row>
    <row r="338" spans="1:9" ht="15" x14ac:dyDescent="0.15">
      <c r="A338" s="50">
        <f t="shared" si="23"/>
        <v>11.209999999999996</v>
      </c>
      <c r="B338" s="13"/>
      <c r="C338" s="18" t="s">
        <v>343</v>
      </c>
      <c r="D338" s="50" t="s">
        <v>94</v>
      </c>
      <c r="E338" s="14"/>
      <c r="F338" s="81"/>
      <c r="G338" s="16">
        <f t="shared" si="22"/>
        <v>0</v>
      </c>
      <c r="I338" s="4">
        <f t="shared" si="19"/>
        <v>0</v>
      </c>
    </row>
    <row r="339" spans="1:9" ht="15" x14ac:dyDescent="0.15">
      <c r="A339" s="50">
        <f t="shared" si="23"/>
        <v>11.219999999999995</v>
      </c>
      <c r="B339" s="13"/>
      <c r="C339" s="18" t="s">
        <v>344</v>
      </c>
      <c r="D339" s="50" t="s">
        <v>94</v>
      </c>
      <c r="E339" s="14">
        <v>1</v>
      </c>
      <c r="F339" s="81">
        <v>1200000</v>
      </c>
      <c r="G339" s="16">
        <f t="shared" si="22"/>
        <v>1200000</v>
      </c>
      <c r="I339" s="4">
        <f t="shared" si="19"/>
        <v>0.12</v>
      </c>
    </row>
    <row r="340" spans="1:9" ht="15" x14ac:dyDescent="0.15">
      <c r="A340" s="50">
        <f t="shared" si="23"/>
        <v>11.229999999999995</v>
      </c>
      <c r="B340" s="13"/>
      <c r="C340" s="18" t="s">
        <v>345</v>
      </c>
      <c r="D340" s="50" t="s">
        <v>15</v>
      </c>
      <c r="E340" s="14"/>
      <c r="F340" s="81"/>
      <c r="G340" s="16">
        <f>E340*F340</f>
        <v>0</v>
      </c>
      <c r="I340" s="4">
        <f t="shared" si="19"/>
        <v>0</v>
      </c>
    </row>
    <row r="341" spans="1:9" ht="15" x14ac:dyDescent="0.15">
      <c r="A341" s="50">
        <f t="shared" si="23"/>
        <v>11.239999999999995</v>
      </c>
      <c r="B341" s="13"/>
      <c r="C341" s="18" t="s">
        <v>346</v>
      </c>
      <c r="D341" s="50" t="s">
        <v>347</v>
      </c>
      <c r="E341" s="14"/>
      <c r="F341" s="81"/>
      <c r="G341" s="16">
        <f>E341*F341</f>
        <v>0</v>
      </c>
      <c r="I341" s="4">
        <f t="shared" si="19"/>
        <v>0</v>
      </c>
    </row>
    <row r="342" spans="1:9" ht="15" x14ac:dyDescent="0.15">
      <c r="A342" s="50">
        <f t="shared" si="23"/>
        <v>11.249999999999995</v>
      </c>
      <c r="B342" s="13"/>
      <c r="C342" s="18" t="s">
        <v>348</v>
      </c>
      <c r="D342" s="50" t="s">
        <v>58</v>
      </c>
      <c r="E342" s="14"/>
      <c r="F342" s="81"/>
      <c r="G342" s="16">
        <f>E342*F342</f>
        <v>0</v>
      </c>
      <c r="I342" s="4">
        <f t="shared" si="19"/>
        <v>0</v>
      </c>
    </row>
    <row r="343" spans="1:9" ht="15" x14ac:dyDescent="0.15">
      <c r="A343" s="50"/>
      <c r="B343" s="13"/>
      <c r="C343" s="19" t="s">
        <v>35</v>
      </c>
      <c r="D343" s="50"/>
      <c r="E343" s="14"/>
      <c r="F343" s="81"/>
      <c r="G343" s="21">
        <f>SUM(G301:G342)</f>
        <v>64775000</v>
      </c>
      <c r="I343" s="4">
        <f t="shared" si="19"/>
        <v>6.4775</v>
      </c>
    </row>
    <row r="344" spans="1:9" x14ac:dyDescent="0.15">
      <c r="A344" s="13"/>
      <c r="B344" s="13"/>
      <c r="C344" s="18"/>
      <c r="D344" s="50"/>
      <c r="E344" s="14"/>
      <c r="F344" s="81"/>
      <c r="G344" s="80"/>
    </row>
    <row r="345" spans="1:9" ht="15" x14ac:dyDescent="0.15">
      <c r="A345" s="78" t="s">
        <v>349</v>
      </c>
      <c r="B345" s="13"/>
      <c r="C345" s="19" t="s">
        <v>350</v>
      </c>
      <c r="D345" s="50"/>
      <c r="E345" s="14"/>
      <c r="F345" s="81"/>
      <c r="G345" s="80"/>
    </row>
    <row r="346" spans="1:9" ht="15" x14ac:dyDescent="0.15">
      <c r="A346" s="13">
        <v>12.01</v>
      </c>
      <c r="B346" s="13"/>
      <c r="C346" s="18" t="s">
        <v>351</v>
      </c>
      <c r="D346" s="50" t="s">
        <v>94</v>
      </c>
      <c r="E346" s="14"/>
      <c r="F346" s="81"/>
      <c r="G346" s="80"/>
    </row>
    <row r="347" spans="1:9" ht="15" x14ac:dyDescent="0.15">
      <c r="A347" s="13">
        <f>A346+0.01</f>
        <v>12.02</v>
      </c>
      <c r="B347" s="13"/>
      <c r="C347" s="18" t="s">
        <v>352</v>
      </c>
      <c r="D347" s="50" t="s">
        <v>94</v>
      </c>
      <c r="E347" s="14"/>
      <c r="F347" s="81"/>
      <c r="G347" s="80"/>
    </row>
    <row r="348" spans="1:9" ht="75" x14ac:dyDescent="0.15">
      <c r="A348" s="13">
        <f t="shared" ref="A348:A352" si="24">A347+0.01</f>
        <v>12.03</v>
      </c>
      <c r="B348" s="13"/>
      <c r="C348" s="18" t="s">
        <v>353</v>
      </c>
      <c r="D348" s="50" t="s">
        <v>94</v>
      </c>
      <c r="E348" s="14"/>
      <c r="F348" s="81"/>
      <c r="G348" s="80"/>
    </row>
    <row r="349" spans="1:9" ht="15" x14ac:dyDescent="0.15">
      <c r="A349" s="83"/>
      <c r="B349" s="83"/>
      <c r="C349" s="18" t="s">
        <v>354</v>
      </c>
      <c r="D349" s="84"/>
      <c r="E349" s="14">
        <v>406</v>
      </c>
      <c r="F349" s="81">
        <v>37000</v>
      </c>
      <c r="G349" s="16">
        <f>E349*F349</f>
        <v>15022000</v>
      </c>
    </row>
    <row r="350" spans="1:9" ht="15" x14ac:dyDescent="0.15">
      <c r="A350" s="83"/>
      <c r="B350" s="83"/>
      <c r="C350" s="18" t="s">
        <v>355</v>
      </c>
      <c r="D350" s="84"/>
      <c r="E350" s="14">
        <v>193</v>
      </c>
      <c r="F350" s="81">
        <v>30000</v>
      </c>
      <c r="G350" s="16">
        <f>E350*F350</f>
        <v>5790000</v>
      </c>
    </row>
    <row r="351" spans="1:9" ht="165" x14ac:dyDescent="0.15">
      <c r="A351" s="13">
        <f>A348+0.01</f>
        <v>12.04</v>
      </c>
      <c r="B351" s="13"/>
      <c r="C351" s="18" t="s">
        <v>356</v>
      </c>
      <c r="D351" s="50" t="s">
        <v>94</v>
      </c>
      <c r="E351" s="14">
        <f>+'[1]Major  T'!C2+2</f>
        <v>4</v>
      </c>
      <c r="F351" s="81">
        <v>450000</v>
      </c>
      <c r="G351" s="16">
        <f>E351*F351</f>
        <v>1800000</v>
      </c>
    </row>
    <row r="352" spans="1:9" ht="15" x14ac:dyDescent="0.15">
      <c r="A352" s="13">
        <f t="shared" si="24"/>
        <v>12.049999999999999</v>
      </c>
      <c r="B352" s="13"/>
      <c r="C352" s="18" t="s">
        <v>357</v>
      </c>
      <c r="D352" s="50" t="s">
        <v>94</v>
      </c>
      <c r="E352" s="14">
        <f>'[1]Junction X'!C2+'[1]Minor T'!C2+'[1]Major  T'!C2</f>
        <v>19</v>
      </c>
      <c r="F352" s="85">
        <v>40000</v>
      </c>
      <c r="G352" s="16">
        <f>E352*F352</f>
        <v>760000</v>
      </c>
    </row>
    <row r="353" spans="1:7" x14ac:dyDescent="0.15">
      <c r="A353" s="13"/>
      <c r="B353" s="13"/>
      <c r="C353" s="18"/>
      <c r="D353" s="50"/>
      <c r="E353" s="14"/>
      <c r="F353" s="81"/>
      <c r="G353" s="16"/>
    </row>
    <row r="354" spans="1:7" ht="15" x14ac:dyDescent="0.15">
      <c r="A354" s="13"/>
      <c r="B354" s="13"/>
      <c r="C354" s="19" t="s">
        <v>35</v>
      </c>
      <c r="D354" s="50"/>
      <c r="E354" s="14"/>
      <c r="F354" s="81"/>
      <c r="G354" s="21">
        <f>SUM(G346:G353)</f>
        <v>23372000</v>
      </c>
    </row>
    <row r="355" spans="1:7" x14ac:dyDescent="0.15">
      <c r="E355" s="14"/>
      <c r="F355" s="81"/>
    </row>
  </sheetData>
  <mergeCells count="9">
    <mergeCell ref="A94:A98"/>
    <mergeCell ref="B94:B98"/>
    <mergeCell ref="A1:E1"/>
    <mergeCell ref="A62:A65"/>
    <mergeCell ref="B62:B65"/>
    <mergeCell ref="A68:A69"/>
    <mergeCell ref="B68:B69"/>
    <mergeCell ref="A84:A89"/>
    <mergeCell ref="B84:B89"/>
  </mergeCells>
  <printOptions horizontalCentered="1"/>
  <pageMargins left="0.25" right="0.25" top="0.75" bottom="0.75" header="0.3" footer="0.3"/>
  <pageSetup paperSize="9" scale="64" orientation="portrait" r:id="rId1"/>
  <rowBreaks count="5" manualBreakCount="5">
    <brk id="37" max="16383" man="1"/>
    <brk id="107" max="16383" man="1"/>
    <brk id="157" max="16383" man="1"/>
    <brk id="278" max="16383" man="1"/>
    <brk id="298"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BOQ</vt:lpstr>
      <vt:lpstr>BOQ!Print_Area</vt:lpstr>
      <vt:lpstr>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Kumar</dc:creator>
  <cp:lastModifiedBy>Sunil Kumar</cp:lastModifiedBy>
  <dcterms:created xsi:type="dcterms:W3CDTF">2026-06-23T09:51:28Z</dcterms:created>
  <dcterms:modified xsi:type="dcterms:W3CDTF">2026-06-23T09:52:07Z</dcterms:modified>
</cp:coreProperties>
</file>